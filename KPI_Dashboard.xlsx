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tiffany/Desktop/"/>
    </mc:Choice>
  </mc:AlternateContent>
  <xr:revisionPtr revIDLastSave="0" documentId="13_ncr:1_{5120654E-6460-7046-AFFC-36BD458D7DF4}" xr6:coauthVersionLast="47" xr6:coauthVersionMax="47" xr10:uidLastSave="{00000000-0000-0000-0000-000000000000}"/>
  <bookViews>
    <workbookView xWindow="0" yWindow="660" windowWidth="29400" windowHeight="16980" activeTab="4" xr2:uid="{00000000-000D-0000-FFFF-FFFF00000000}"/>
  </bookViews>
  <sheets>
    <sheet name="README" sheetId="1" r:id="rId1"/>
    <sheet name="Cases" sheetId="2" r:id="rId2"/>
    <sheet name="SLA_Table" sheetId="3" r:id="rId3"/>
    <sheet name="KPI" sheetId="6" r:id="rId4"/>
    <sheet name="Cases_Clean" sheetId="4" r:id="rId5"/>
    <sheet name="Cleaning_Log" sheetId="5" r:id="rId6"/>
  </sheets>
  <definedNames>
    <definedName name="_xlnm._FilterDatabase" localSheetId="4" hidden="1">Cases_Clean!$A$1:$J$305</definedName>
  </definedNames>
  <calcPr calcId="191029"/>
  <pivotCaches>
    <pivotCache cacheId="1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N12" i="6"/>
  <c r="N11" i="6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N10" i="6"/>
  <c r="Q30" i="4"/>
  <c r="Q31" i="4"/>
  <c r="Q32" i="4"/>
  <c r="Q33" i="4"/>
  <c r="Q34" i="4"/>
  <c r="Q35" i="4"/>
  <c r="Q36" i="4"/>
  <c r="P37" i="4"/>
  <c r="Q37" i="4" s="1"/>
  <c r="P38" i="4"/>
  <c r="Q38" i="4" s="1"/>
  <c r="P39" i="4"/>
  <c r="Q39" i="4" s="1"/>
  <c r="P40" i="4"/>
  <c r="P41" i="4"/>
  <c r="Q41" i="4" s="1"/>
  <c r="P42" i="4"/>
  <c r="Q42" i="4" s="1"/>
  <c r="P43" i="4"/>
  <c r="Q43" i="4" s="1"/>
  <c r="P44" i="4"/>
  <c r="Q44" i="4" s="1"/>
  <c r="P45" i="4"/>
  <c r="Q45" i="4" s="1"/>
  <c r="P46" i="4"/>
  <c r="Q46" i="4" s="1"/>
  <c r="P47" i="4"/>
  <c r="Q47" i="4" s="1"/>
  <c r="P48" i="4"/>
  <c r="Q48" i="4" s="1"/>
  <c r="P49" i="4"/>
  <c r="Q49" i="4" s="1"/>
  <c r="P50" i="4"/>
  <c r="Q50" i="4" s="1"/>
  <c r="P51" i="4"/>
  <c r="Q51" i="4" s="1"/>
  <c r="P52" i="4"/>
  <c r="Q52" i="4" s="1"/>
  <c r="P53" i="4"/>
  <c r="Q53" i="4" s="1"/>
  <c r="P54" i="4"/>
  <c r="Q54" i="4" s="1"/>
  <c r="P55" i="4"/>
  <c r="Q55" i="4" s="1"/>
  <c r="P56" i="4"/>
  <c r="Q56" i="4" s="1"/>
  <c r="P57" i="4"/>
  <c r="Q57" i="4" s="1"/>
  <c r="P58" i="4"/>
  <c r="Q58" i="4" s="1"/>
  <c r="P59" i="4"/>
  <c r="Q59" i="4" s="1"/>
  <c r="P60" i="4"/>
  <c r="Q60" i="4" s="1"/>
  <c r="P61" i="4"/>
  <c r="Q61" i="4" s="1"/>
  <c r="P62" i="4"/>
  <c r="Q62" i="4" s="1"/>
  <c r="P63" i="4"/>
  <c r="Q63" i="4" s="1"/>
  <c r="P64" i="4"/>
  <c r="Q64" i="4" s="1"/>
  <c r="P65" i="4"/>
  <c r="Q65" i="4" s="1"/>
  <c r="P66" i="4"/>
  <c r="Q66" i="4" s="1"/>
  <c r="P67" i="4"/>
  <c r="Q67" i="4" s="1"/>
  <c r="P68" i="4"/>
  <c r="Q68" i="4" s="1"/>
  <c r="P69" i="4"/>
  <c r="Q69" i="4" s="1"/>
  <c r="P70" i="4"/>
  <c r="Q70" i="4" s="1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Q125" i="4" s="1"/>
  <c r="P126" i="4"/>
  <c r="Q126" i="4" s="1"/>
  <c r="P127" i="4"/>
  <c r="Q127" i="4" s="1"/>
  <c r="P128" i="4"/>
  <c r="Q128" i="4" s="1"/>
  <c r="P129" i="4"/>
  <c r="Q129" i="4" s="1"/>
  <c r="P130" i="4"/>
  <c r="Q130" i="4" s="1"/>
  <c r="P131" i="4"/>
  <c r="Q131" i="4" s="1"/>
  <c r="P132" i="4"/>
  <c r="Q132" i="4" s="1"/>
  <c r="P133" i="4"/>
  <c r="Q133" i="4" s="1"/>
  <c r="P134" i="4"/>
  <c r="Q134" i="4" s="1"/>
  <c r="P135" i="4"/>
  <c r="Q135" i="4" s="1"/>
  <c r="P136" i="4"/>
  <c r="Q136" i="4" s="1"/>
  <c r="P137" i="4"/>
  <c r="Q137" i="4" s="1"/>
  <c r="P138" i="4"/>
  <c r="Q138" i="4" s="1"/>
  <c r="P139" i="4"/>
  <c r="Q139" i="4" s="1"/>
  <c r="P140" i="4"/>
  <c r="Q140" i="4" s="1"/>
  <c r="P141" i="4"/>
  <c r="Q141" i="4" s="1"/>
  <c r="P142" i="4"/>
  <c r="Q142" i="4" s="1"/>
  <c r="P143" i="4"/>
  <c r="Q143" i="4" s="1"/>
  <c r="P144" i="4"/>
  <c r="Q144" i="4" s="1"/>
  <c r="P145" i="4"/>
  <c r="Q145" i="4" s="1"/>
  <c r="P146" i="4"/>
  <c r="Q146" i="4" s="1"/>
  <c r="P147" i="4"/>
  <c r="Q147" i="4" s="1"/>
  <c r="P148" i="4"/>
  <c r="Q148" i="4" s="1"/>
  <c r="P149" i="4"/>
  <c r="Q149" i="4" s="1"/>
  <c r="P150" i="4"/>
  <c r="Q150" i="4" s="1"/>
  <c r="P151" i="4"/>
  <c r="Q151" i="4" s="1"/>
  <c r="P152" i="4"/>
  <c r="Q152" i="4" s="1"/>
  <c r="P153" i="4"/>
  <c r="Q153" i="4" s="1"/>
  <c r="P154" i="4"/>
  <c r="Q154" i="4" s="1"/>
  <c r="P155" i="4"/>
  <c r="Q155" i="4" s="1"/>
  <c r="P156" i="4"/>
  <c r="Q156" i="4" s="1"/>
  <c r="P157" i="4"/>
  <c r="Q157" i="4" s="1"/>
  <c r="P158" i="4"/>
  <c r="Q158" i="4" s="1"/>
  <c r="P159" i="4"/>
  <c r="Q159" i="4" s="1"/>
  <c r="P160" i="4"/>
  <c r="Q160" i="4" s="1"/>
  <c r="P161" i="4"/>
  <c r="Q161" i="4" s="1"/>
  <c r="P162" i="4"/>
  <c r="Q162" i="4" s="1"/>
  <c r="P163" i="4"/>
  <c r="Q163" i="4" s="1"/>
  <c r="P164" i="4"/>
  <c r="Q164" i="4" s="1"/>
  <c r="P165" i="4"/>
  <c r="Q165" i="4" s="1"/>
  <c r="P166" i="4"/>
  <c r="Q166" i="4" s="1"/>
  <c r="P167" i="4"/>
  <c r="Q167" i="4" s="1"/>
  <c r="P168" i="4"/>
  <c r="Q168" i="4" s="1"/>
  <c r="P169" i="4"/>
  <c r="Q169" i="4" s="1"/>
  <c r="P170" i="4"/>
  <c r="Q170" i="4" s="1"/>
  <c r="P171" i="4"/>
  <c r="Q171" i="4" s="1"/>
  <c r="P172" i="4"/>
  <c r="Q172" i="4" s="1"/>
  <c r="P173" i="4"/>
  <c r="Q173" i="4" s="1"/>
  <c r="P174" i="4"/>
  <c r="Q174" i="4" s="1"/>
  <c r="P175" i="4"/>
  <c r="Q175" i="4" s="1"/>
  <c r="P176" i="4"/>
  <c r="Q176" i="4" s="1"/>
  <c r="P177" i="4"/>
  <c r="Q177" i="4" s="1"/>
  <c r="P178" i="4"/>
  <c r="Q178" i="4" s="1"/>
  <c r="P179" i="4"/>
  <c r="Q179" i="4" s="1"/>
  <c r="P180" i="4"/>
  <c r="Q180" i="4" s="1"/>
  <c r="P181" i="4"/>
  <c r="Q181" i="4" s="1"/>
  <c r="P182" i="4"/>
  <c r="Q182" i="4" s="1"/>
  <c r="P183" i="4"/>
  <c r="Q183" i="4" s="1"/>
  <c r="P184" i="4"/>
  <c r="Q184" i="4" s="1"/>
  <c r="P185" i="4"/>
  <c r="Q185" i="4" s="1"/>
  <c r="P186" i="4"/>
  <c r="Q186" i="4" s="1"/>
  <c r="P187" i="4"/>
  <c r="Q187" i="4" s="1"/>
  <c r="P188" i="4"/>
  <c r="Q188" i="4" s="1"/>
  <c r="P189" i="4"/>
  <c r="Q189" i="4" s="1"/>
  <c r="P190" i="4"/>
  <c r="Q190" i="4" s="1"/>
  <c r="P191" i="4"/>
  <c r="Q191" i="4" s="1"/>
  <c r="P192" i="4"/>
  <c r="Q192" i="4" s="1"/>
  <c r="P193" i="4"/>
  <c r="Q193" i="4" s="1"/>
  <c r="P194" i="4"/>
  <c r="Q194" i="4" s="1"/>
  <c r="P195" i="4"/>
  <c r="Q195" i="4" s="1"/>
  <c r="P196" i="4"/>
  <c r="Q196" i="4" s="1"/>
  <c r="P197" i="4"/>
  <c r="Q197" i="4" s="1"/>
  <c r="P198" i="4"/>
  <c r="Q198" i="4" s="1"/>
  <c r="P199" i="4"/>
  <c r="Q199" i="4" s="1"/>
  <c r="P200" i="4"/>
  <c r="Q200" i="4" s="1"/>
  <c r="P201" i="4"/>
  <c r="Q201" i="4" s="1"/>
  <c r="P202" i="4"/>
  <c r="Q202" i="4" s="1"/>
  <c r="P203" i="4"/>
  <c r="Q203" i="4" s="1"/>
  <c r="P204" i="4"/>
  <c r="Q204" i="4" s="1"/>
  <c r="P205" i="4"/>
  <c r="Q205" i="4" s="1"/>
  <c r="P206" i="4"/>
  <c r="Q206" i="4" s="1"/>
  <c r="P207" i="4"/>
  <c r="Q207" i="4" s="1"/>
  <c r="P208" i="4"/>
  <c r="Q208" i="4" s="1"/>
  <c r="P209" i="4"/>
  <c r="Q209" i="4" s="1"/>
  <c r="P210" i="4"/>
  <c r="Q210" i="4" s="1"/>
  <c r="P211" i="4"/>
  <c r="Q211" i="4" s="1"/>
  <c r="P212" i="4"/>
  <c r="Q212" i="4" s="1"/>
  <c r="P213" i="4"/>
  <c r="Q213" i="4" s="1"/>
  <c r="P214" i="4"/>
  <c r="Q214" i="4" s="1"/>
  <c r="P215" i="4"/>
  <c r="Q215" i="4" s="1"/>
  <c r="P216" i="4"/>
  <c r="Q216" i="4" s="1"/>
  <c r="P217" i="4"/>
  <c r="Q217" i="4" s="1"/>
  <c r="P218" i="4"/>
  <c r="Q218" i="4" s="1"/>
  <c r="P219" i="4"/>
  <c r="Q219" i="4" s="1"/>
  <c r="P220" i="4"/>
  <c r="Q220" i="4" s="1"/>
  <c r="P221" i="4"/>
  <c r="Q221" i="4" s="1"/>
  <c r="P222" i="4"/>
  <c r="Q222" i="4" s="1"/>
  <c r="P223" i="4"/>
  <c r="Q223" i="4" s="1"/>
  <c r="P224" i="4"/>
  <c r="Q224" i="4" s="1"/>
  <c r="P225" i="4"/>
  <c r="Q225" i="4" s="1"/>
  <c r="P226" i="4"/>
  <c r="Q226" i="4" s="1"/>
  <c r="P227" i="4"/>
  <c r="Q227" i="4" s="1"/>
  <c r="P228" i="4"/>
  <c r="Q228" i="4" s="1"/>
  <c r="P229" i="4"/>
  <c r="Q229" i="4" s="1"/>
  <c r="P230" i="4"/>
  <c r="Q230" i="4" s="1"/>
  <c r="P231" i="4"/>
  <c r="Q231" i="4" s="1"/>
  <c r="P232" i="4"/>
  <c r="Q232" i="4" s="1"/>
  <c r="P233" i="4"/>
  <c r="Q233" i="4" s="1"/>
  <c r="P234" i="4"/>
  <c r="Q234" i="4" s="1"/>
  <c r="P235" i="4"/>
  <c r="Q235" i="4" s="1"/>
  <c r="P236" i="4"/>
  <c r="Q236" i="4" s="1"/>
  <c r="P237" i="4"/>
  <c r="Q237" i="4" s="1"/>
  <c r="P238" i="4"/>
  <c r="Q238" i="4" s="1"/>
  <c r="P239" i="4"/>
  <c r="Q239" i="4" s="1"/>
  <c r="P240" i="4"/>
  <c r="Q240" i="4" s="1"/>
  <c r="P241" i="4"/>
  <c r="Q241" i="4" s="1"/>
  <c r="P242" i="4"/>
  <c r="Q242" i="4" s="1"/>
  <c r="P243" i="4"/>
  <c r="Q243" i="4" s="1"/>
  <c r="P244" i="4"/>
  <c r="Q244" i="4" s="1"/>
  <c r="P245" i="4"/>
  <c r="Q245" i="4" s="1"/>
  <c r="P246" i="4"/>
  <c r="Q246" i="4" s="1"/>
  <c r="P247" i="4"/>
  <c r="Q247" i="4" s="1"/>
  <c r="P248" i="4"/>
  <c r="Q248" i="4" s="1"/>
  <c r="P249" i="4"/>
  <c r="Q249" i="4" s="1"/>
  <c r="P250" i="4"/>
  <c r="Q250" i="4" s="1"/>
  <c r="P251" i="4"/>
  <c r="Q251" i="4" s="1"/>
  <c r="P252" i="4"/>
  <c r="Q252" i="4" s="1"/>
  <c r="P253" i="4"/>
  <c r="Q253" i="4" s="1"/>
  <c r="P254" i="4"/>
  <c r="Q254" i="4" s="1"/>
  <c r="P255" i="4"/>
  <c r="Q255" i="4" s="1"/>
  <c r="P256" i="4"/>
  <c r="Q256" i="4" s="1"/>
  <c r="P257" i="4"/>
  <c r="Q257" i="4" s="1"/>
  <c r="P258" i="4"/>
  <c r="Q258" i="4" s="1"/>
  <c r="P259" i="4"/>
  <c r="Q259" i="4" s="1"/>
  <c r="P260" i="4"/>
  <c r="Q260" i="4" s="1"/>
  <c r="P261" i="4"/>
  <c r="Q261" i="4" s="1"/>
  <c r="P262" i="4"/>
  <c r="Q262" i="4" s="1"/>
  <c r="P263" i="4"/>
  <c r="Q263" i="4" s="1"/>
  <c r="P264" i="4"/>
  <c r="Q264" i="4" s="1"/>
  <c r="P265" i="4"/>
  <c r="Q265" i="4" s="1"/>
  <c r="P266" i="4"/>
  <c r="Q266" i="4" s="1"/>
  <c r="P267" i="4"/>
  <c r="Q267" i="4" s="1"/>
  <c r="P268" i="4"/>
  <c r="Q268" i="4" s="1"/>
  <c r="P269" i="4"/>
  <c r="Q269" i="4" s="1"/>
  <c r="P270" i="4"/>
  <c r="Q270" i="4" s="1"/>
  <c r="P271" i="4"/>
  <c r="Q271" i="4" s="1"/>
  <c r="P272" i="4"/>
  <c r="Q272" i="4" s="1"/>
  <c r="P273" i="4"/>
  <c r="Q273" i="4" s="1"/>
  <c r="P274" i="4"/>
  <c r="Q274" i="4" s="1"/>
  <c r="P275" i="4"/>
  <c r="Q275" i="4" s="1"/>
  <c r="P276" i="4"/>
  <c r="Q276" i="4" s="1"/>
  <c r="P277" i="4"/>
  <c r="Q277" i="4" s="1"/>
  <c r="P278" i="4"/>
  <c r="Q278" i="4" s="1"/>
  <c r="P279" i="4"/>
  <c r="Q279" i="4" s="1"/>
  <c r="P280" i="4"/>
  <c r="Q280" i="4" s="1"/>
  <c r="P281" i="4"/>
  <c r="Q281" i="4" s="1"/>
  <c r="P282" i="4"/>
  <c r="Q282" i="4" s="1"/>
  <c r="P283" i="4"/>
  <c r="Q283" i="4" s="1"/>
  <c r="P284" i="4"/>
  <c r="Q284" i="4" s="1"/>
  <c r="P285" i="4"/>
  <c r="Q285" i="4" s="1"/>
  <c r="P286" i="4"/>
  <c r="Q286" i="4" s="1"/>
  <c r="P287" i="4"/>
  <c r="Q287" i="4" s="1"/>
  <c r="P288" i="4"/>
  <c r="Q288" i="4" s="1"/>
  <c r="P289" i="4"/>
  <c r="Q289" i="4" s="1"/>
  <c r="P290" i="4"/>
  <c r="Q290" i="4" s="1"/>
  <c r="P291" i="4"/>
  <c r="Q291" i="4" s="1"/>
  <c r="P292" i="4"/>
  <c r="Q292" i="4" s="1"/>
  <c r="P293" i="4"/>
  <c r="Q293" i="4" s="1"/>
  <c r="P294" i="4"/>
  <c r="Q294" i="4" s="1"/>
  <c r="P295" i="4"/>
  <c r="Q295" i="4" s="1"/>
  <c r="P296" i="4"/>
  <c r="Q296" i="4" s="1"/>
  <c r="P297" i="4"/>
  <c r="Q297" i="4" s="1"/>
  <c r="P298" i="4"/>
  <c r="Q298" i="4" s="1"/>
  <c r="P299" i="4"/>
  <c r="Q299" i="4" s="1"/>
  <c r="P300" i="4"/>
  <c r="Q300" i="4" s="1"/>
  <c r="P301" i="4"/>
  <c r="Q301" i="4" s="1"/>
  <c r="P302" i="4"/>
  <c r="Q302" i="4" s="1"/>
  <c r="P303" i="4"/>
  <c r="Q303" i="4" s="1"/>
  <c r="P304" i="4"/>
  <c r="Q304" i="4" s="1"/>
  <c r="P305" i="4"/>
  <c r="Q305" i="4" s="1"/>
  <c r="P306" i="4"/>
  <c r="Q306" i="4" s="1"/>
  <c r="K4" i="6"/>
  <c r="K302" i="4"/>
  <c r="K303" i="4"/>
  <c r="K304" i="4"/>
  <c r="K305" i="4"/>
  <c r="K306" i="4"/>
  <c r="L306" i="4"/>
  <c r="M306" i="4"/>
  <c r="N302" i="4"/>
  <c r="N303" i="4"/>
  <c r="N304" i="4"/>
  <c r="N305" i="4"/>
  <c r="N306" i="4"/>
  <c r="O302" i="4"/>
  <c r="O303" i="4"/>
  <c r="O304" i="4"/>
  <c r="O305" i="4"/>
  <c r="O306" i="4"/>
  <c r="M2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M160" i="4" s="1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M205" i="4" s="1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M223" i="4" s="1"/>
  <c r="L224" i="4"/>
  <c r="L225" i="4"/>
  <c r="L226" i="4"/>
  <c r="L227" i="4"/>
  <c r="L228" i="4"/>
  <c r="L229" i="4"/>
  <c r="L230" i="4"/>
  <c r="L231" i="4"/>
  <c r="L232" i="4"/>
  <c r="L233" i="4"/>
  <c r="M233" i="4" s="1"/>
  <c r="L234" i="4"/>
  <c r="L235" i="4"/>
  <c r="L236" i="4"/>
  <c r="M236" i="4" s="1"/>
  <c r="L237" i="4"/>
  <c r="L238" i="4"/>
  <c r="L239" i="4"/>
  <c r="L240" i="4"/>
  <c r="L241" i="4"/>
  <c r="L242" i="4"/>
  <c r="M242" i="4" s="1"/>
  <c r="L243" i="4"/>
  <c r="L244" i="4"/>
  <c r="M244" i="4" s="1"/>
  <c r="L245" i="4"/>
  <c r="M245" i="4" s="1"/>
  <c r="L246" i="4"/>
  <c r="L247" i="4"/>
  <c r="L248" i="4"/>
  <c r="M248" i="4" s="1"/>
  <c r="L249" i="4"/>
  <c r="L250" i="4"/>
  <c r="L251" i="4"/>
  <c r="M251" i="4" s="1"/>
  <c r="L252" i="4"/>
  <c r="L253" i="4"/>
  <c r="M253" i="4" s="1"/>
  <c r="L254" i="4"/>
  <c r="L255" i="4"/>
  <c r="M255" i="4" s="1"/>
  <c r="L256" i="4"/>
  <c r="M256" i="4" s="1"/>
  <c r="L257" i="4"/>
  <c r="M257" i="4" s="1"/>
  <c r="L258" i="4"/>
  <c r="L259" i="4"/>
  <c r="L260" i="4"/>
  <c r="M260" i="4" s="1"/>
  <c r="L261" i="4"/>
  <c r="L262" i="4"/>
  <c r="L263" i="4"/>
  <c r="M263" i="4" s="1"/>
  <c r="L264" i="4"/>
  <c r="L265" i="4"/>
  <c r="L266" i="4"/>
  <c r="L267" i="4"/>
  <c r="M267" i="4" s="1"/>
  <c r="L268" i="4"/>
  <c r="M268" i="4" s="1"/>
  <c r="L269" i="4"/>
  <c r="M269" i="4" s="1"/>
  <c r="L270" i="4"/>
  <c r="L271" i="4"/>
  <c r="M271" i="4" s="1"/>
  <c r="L272" i="4"/>
  <c r="L273" i="4"/>
  <c r="L274" i="4"/>
  <c r="L275" i="4"/>
  <c r="M275" i="4" s="1"/>
  <c r="L276" i="4"/>
  <c r="M276" i="4" s="1"/>
  <c r="L277" i="4"/>
  <c r="M277" i="4" s="1"/>
  <c r="L278" i="4"/>
  <c r="L279" i="4"/>
  <c r="M279" i="4" s="1"/>
  <c r="L280" i="4"/>
  <c r="M280" i="4" s="1"/>
  <c r="L281" i="4"/>
  <c r="M281" i="4" s="1"/>
  <c r="L282" i="4"/>
  <c r="M282" i="4" s="1"/>
  <c r="L283" i="4"/>
  <c r="M283" i="4" s="1"/>
  <c r="L284" i="4"/>
  <c r="M284" i="4" s="1"/>
  <c r="L285" i="4"/>
  <c r="M285" i="4" s="1"/>
  <c r="L286" i="4"/>
  <c r="L287" i="4"/>
  <c r="L288" i="4"/>
  <c r="M288" i="4" s="1"/>
  <c r="L289" i="4"/>
  <c r="L290" i="4"/>
  <c r="M290" i="4" s="1"/>
  <c r="L291" i="4"/>
  <c r="M291" i="4" s="1"/>
  <c r="L292" i="4"/>
  <c r="M292" i="4" s="1"/>
  <c r="L293" i="4"/>
  <c r="M293" i="4" s="1"/>
  <c r="L294" i="4"/>
  <c r="M294" i="4" s="1"/>
  <c r="L295" i="4"/>
  <c r="M295" i="4" s="1"/>
  <c r="L296" i="4"/>
  <c r="M296" i="4" s="1"/>
  <c r="L297" i="4"/>
  <c r="M297" i="4" s="1"/>
  <c r="L298" i="4"/>
  <c r="M298" i="4" s="1"/>
  <c r="L299" i="4"/>
  <c r="M299" i="4" s="1"/>
  <c r="L300" i="4"/>
  <c r="M300" i="4" s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J301" i="4"/>
  <c r="L301" i="4" s="1"/>
  <c r="M301" i="4" s="1"/>
  <c r="L302" i="4"/>
  <c r="L303" i="4"/>
  <c r="M303" i="4" s="1"/>
  <c r="L304" i="4"/>
  <c r="J305" i="4"/>
  <c r="L305" i="4" s="1"/>
  <c r="M305" i="4" s="1"/>
  <c r="N13" i="6" l="1"/>
  <c r="Q2" i="4"/>
  <c r="N14" i="6" s="1"/>
  <c r="Q40" i="4"/>
  <c r="K9" i="6"/>
  <c r="M304" i="4"/>
  <c r="M302" i="4"/>
  <c r="H12" i="6" s="1"/>
  <c r="F12" i="6"/>
  <c r="F4" i="6"/>
  <c r="F10" i="6"/>
  <c r="F7" i="6"/>
  <c r="F5" i="6"/>
  <c r="F6" i="6"/>
  <c r="F9" i="6"/>
  <c r="F11" i="6"/>
  <c r="F8" i="6"/>
  <c r="I7" i="6"/>
  <c r="I11" i="6"/>
  <c r="I6" i="6"/>
  <c r="G7" i="6"/>
  <c r="H6" i="6"/>
  <c r="G12" i="6"/>
  <c r="G10" i="6"/>
  <c r="I8" i="6"/>
  <c r="I12" i="6"/>
  <c r="I4" i="6"/>
  <c r="I5" i="6"/>
  <c r="I9" i="6"/>
  <c r="G4" i="6"/>
  <c r="G6" i="6"/>
  <c r="G5" i="6"/>
  <c r="G9" i="6"/>
  <c r="G8" i="6"/>
  <c r="H8" i="6"/>
  <c r="I10" i="6"/>
  <c r="G11" i="6"/>
  <c r="M92" i="4"/>
  <c r="M209" i="4"/>
  <c r="M215" i="4"/>
  <c r="M201" i="4"/>
  <c r="H11" i="6" s="1"/>
  <c r="M210" i="4"/>
  <c r="M221" i="4"/>
  <c r="M226" i="4"/>
  <c r="M230" i="4"/>
  <c r="M243" i="4"/>
  <c r="M246" i="4"/>
  <c r="M247" i="4"/>
  <c r="M249" i="4"/>
  <c r="M250" i="4"/>
  <c r="M252" i="4"/>
  <c r="M259" i="4"/>
  <c r="M261" i="4"/>
  <c r="M262" i="4"/>
  <c r="M264" i="4"/>
  <c r="M273" i="4"/>
  <c r="M278" i="4"/>
  <c r="M3" i="4"/>
  <c r="H4" i="6" s="1"/>
  <c r="M4" i="4"/>
  <c r="M5" i="4"/>
  <c r="H5" i="6" s="1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90" i="4"/>
  <c r="M91" i="4"/>
  <c r="M200" i="4"/>
  <c r="M202" i="4"/>
  <c r="M203" i="4"/>
  <c r="M204" i="4"/>
  <c r="M206" i="4"/>
  <c r="M207" i="4"/>
  <c r="M208" i="4"/>
  <c r="M211" i="4"/>
  <c r="M214" i="4"/>
  <c r="M218" i="4"/>
  <c r="M222" i="4"/>
  <c r="M225" i="4"/>
  <c r="M228" i="4"/>
  <c r="M232" i="4"/>
  <c r="M286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H9" i="6" s="1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62" i="4"/>
  <c r="M163" i="4"/>
  <c r="M164" i="4"/>
  <c r="M165" i="4"/>
  <c r="M167" i="4"/>
  <c r="M169" i="4"/>
  <c r="M171" i="4"/>
  <c r="M172" i="4"/>
  <c r="M174" i="4"/>
  <c r="M176" i="4"/>
  <c r="M178" i="4"/>
  <c r="M180" i="4"/>
  <c r="M182" i="4"/>
  <c r="M184" i="4"/>
  <c r="M185" i="4"/>
  <c r="M187" i="4"/>
  <c r="M189" i="4"/>
  <c r="M191" i="4"/>
  <c r="M192" i="4"/>
  <c r="M193" i="4"/>
  <c r="M194" i="4"/>
  <c r="M195" i="4"/>
  <c r="M196" i="4"/>
  <c r="M197" i="4"/>
  <c r="M198" i="4"/>
  <c r="M199" i="4"/>
  <c r="M212" i="4"/>
  <c r="M217" i="4"/>
  <c r="M220" i="4"/>
  <c r="M224" i="4"/>
  <c r="M227" i="4"/>
  <c r="M231" i="4"/>
  <c r="M234" i="4"/>
  <c r="M238" i="4"/>
  <c r="M240" i="4"/>
  <c r="M258" i="4"/>
  <c r="M265" i="4"/>
  <c r="M266" i="4"/>
  <c r="M270" i="4"/>
  <c r="M272" i="4"/>
  <c r="M274" i="4"/>
  <c r="M287" i="4"/>
  <c r="M289" i="4"/>
  <c r="M153" i="4"/>
  <c r="M154" i="4"/>
  <c r="M155" i="4"/>
  <c r="M156" i="4"/>
  <c r="M157" i="4"/>
  <c r="M158" i="4"/>
  <c r="M159" i="4"/>
  <c r="M161" i="4"/>
  <c r="M166" i="4"/>
  <c r="M168" i="4"/>
  <c r="M170" i="4"/>
  <c r="M173" i="4"/>
  <c r="M175" i="4"/>
  <c r="M177" i="4"/>
  <c r="M179" i="4"/>
  <c r="M181" i="4"/>
  <c r="M183" i="4"/>
  <c r="M186" i="4"/>
  <c r="M188" i="4"/>
  <c r="M190" i="4"/>
  <c r="M213" i="4"/>
  <c r="M216" i="4"/>
  <c r="M219" i="4"/>
  <c r="M229" i="4"/>
  <c r="M235" i="4"/>
  <c r="M237" i="4"/>
  <c r="M239" i="4"/>
  <c r="M241" i="4"/>
  <c r="M254" i="4"/>
  <c r="H7" i="6" l="1"/>
  <c r="H10" i="6"/>
  <c r="N5" i="6"/>
  <c r="P5" i="6" s="1"/>
  <c r="O5" i="6"/>
  <c r="K7" i="6"/>
  <c r="O6" i="6"/>
  <c r="N6" i="6"/>
  <c r="O4" i="6"/>
  <c r="N4" i="6"/>
  <c r="P6" i="6" l="1"/>
  <c r="P4" i="6"/>
</calcChain>
</file>

<file path=xl/sharedStrings.xml><?xml version="1.0" encoding="utf-8"?>
<sst xmlns="http://schemas.openxmlformats.org/spreadsheetml/2006/main" count="3901" uniqueCount="455">
  <si>
    <t>Service Case Data — Weeks 1–8 (2026-08-31 to 2026-10-25)</t>
  </si>
  <si>
    <t>SYNTHETIC DATA. Generated for practice only. Not real ASML or customer data.</t>
  </si>
  <si>
    <t>Field definitions</t>
  </si>
  <si>
    <t>Case_ID — unique service case number</t>
  </si>
  <si>
    <t>Open_Date / Close_Date — date opened / closed (blank Close_Date = still open)</t>
  </si>
  <si>
    <t>Status — Open or Closed as of 2026-10-25</t>
  </si>
  <si>
    <t>Priority — P1 tool down / P2 performance degraded / P3 routine</t>
  </si>
  <si>
    <t>Case_Type — why the case was opened</t>
  </si>
  <si>
    <t>Customer_Site — which customer fab</t>
  </si>
  <si>
    <t>Owner — engineer responsible</t>
  </si>
  <si>
    <t>Delay_Reason — filled only when the case is (or was) past its SLA target</t>
  </si>
  <si>
    <t>SLA_Table sheet — target days to close for each priority</t>
  </si>
  <si>
    <t>Your task today: the Cases sheet contains data-quality problems typical of real team trackers.</t>
  </si>
  <si>
    <t>Find them, fix them on a copy, and record each fix in a Cleaning_Log sheet (what, how many, how fixed).</t>
  </si>
  <si>
    <t>Do not edit the original Cases sheet — keep it as the raw source.</t>
  </si>
  <si>
    <t>Case_ID</t>
  </si>
  <si>
    <t>Open_Date</t>
  </si>
  <si>
    <t>Close_Date</t>
  </si>
  <si>
    <t>Status</t>
  </si>
  <si>
    <t>Priority</t>
  </si>
  <si>
    <t>Case_Type</t>
  </si>
  <si>
    <t>Customer_Site</t>
  </si>
  <si>
    <t>Owner</t>
  </si>
  <si>
    <t>Delay_Reason</t>
  </si>
  <si>
    <t>CS-1001</t>
  </si>
  <si>
    <t>Closed</t>
  </si>
  <si>
    <t>P2</t>
  </si>
  <si>
    <t>Customer inquiry</t>
  </si>
  <si>
    <t>Fab C</t>
  </si>
  <si>
    <t>Chen</t>
  </si>
  <si>
    <t>CS-1002</t>
  </si>
  <si>
    <t>Unscheduled repair</t>
  </si>
  <si>
    <t>Fab A</t>
  </si>
  <si>
    <t>Liu</t>
  </si>
  <si>
    <t>CS-1003</t>
  </si>
  <si>
    <t>P3</t>
  </si>
  <si>
    <t>Wang</t>
  </si>
  <si>
    <t>CS-1004</t>
  </si>
  <si>
    <t>Software / upgrade</t>
  </si>
  <si>
    <t>Fab B</t>
  </si>
  <si>
    <t>CS-1005</t>
  </si>
  <si>
    <t>Part replacement</t>
  </si>
  <si>
    <t>CS-1006</t>
  </si>
  <si>
    <t>P1</t>
  </si>
  <si>
    <t>Lin</t>
  </si>
  <si>
    <t>CS-1007</t>
  </si>
  <si>
    <t>CS-1008</t>
  </si>
  <si>
    <t>Preventive maintenance</t>
  </si>
  <si>
    <t>Tsai</t>
  </si>
  <si>
    <t>CS-1009</t>
  </si>
  <si>
    <t>CS-1010</t>
  </si>
  <si>
    <t>CS-1011</t>
  </si>
  <si>
    <t>Waiting for customer</t>
  </si>
  <si>
    <t>CS-1012</t>
  </si>
  <si>
    <t>Huang</t>
  </si>
  <si>
    <t>Waiting for parts</t>
  </si>
  <si>
    <t>CS-1013</t>
  </si>
  <si>
    <t xml:space="preserve">Waiting for parts </t>
  </si>
  <si>
    <t>CS-1014</t>
  </si>
  <si>
    <t>CS-1015</t>
  </si>
  <si>
    <t>Waiting for engineer</t>
  </si>
  <si>
    <t>CS-1016</t>
  </si>
  <si>
    <t>CS-1017</t>
  </si>
  <si>
    <t>CS-1018</t>
  </si>
  <si>
    <t>CS-1019</t>
  </si>
  <si>
    <t>CS-1020</t>
  </si>
  <si>
    <t>CS-1021</t>
  </si>
  <si>
    <t>CS-1022</t>
  </si>
  <si>
    <t xml:space="preserve">Wang </t>
  </si>
  <si>
    <t>CS-1023</t>
  </si>
  <si>
    <t>CS-1024</t>
  </si>
  <si>
    <t>CS-1025</t>
  </si>
  <si>
    <t>CS-1026</t>
  </si>
  <si>
    <t>CS-1027</t>
  </si>
  <si>
    <t>CS-1028</t>
  </si>
  <si>
    <t>CS-1029</t>
  </si>
  <si>
    <t>CS-1030</t>
  </si>
  <si>
    <t>waiting parts</t>
  </si>
  <si>
    <t>CS-1031</t>
  </si>
  <si>
    <t>CS-1032</t>
  </si>
  <si>
    <t>CS-1033</t>
  </si>
  <si>
    <t>CS-1034</t>
  </si>
  <si>
    <t>CS-1035</t>
  </si>
  <si>
    <t>CS-1036</t>
  </si>
  <si>
    <t>CS-1037</t>
  </si>
  <si>
    <t>Escalated</t>
  </si>
  <si>
    <t>CS-1038</t>
  </si>
  <si>
    <t>CS-1039</t>
  </si>
  <si>
    <t>CS-1040</t>
  </si>
  <si>
    <t>CS-1041</t>
  </si>
  <si>
    <t>CS-1042</t>
  </si>
  <si>
    <t>CS-1043</t>
  </si>
  <si>
    <t>CS-1044</t>
  </si>
  <si>
    <t>CS-1045</t>
  </si>
  <si>
    <t>CS-1046</t>
  </si>
  <si>
    <t>CS-1047</t>
  </si>
  <si>
    <t>CS-1048</t>
  </si>
  <si>
    <t>CS-1049</t>
  </si>
  <si>
    <t>Escalated to tech support</t>
  </si>
  <si>
    <t>CS-1050</t>
  </si>
  <si>
    <t>CS-1051</t>
  </si>
  <si>
    <t>CS-1052</t>
  </si>
  <si>
    <t>CS-1053</t>
  </si>
  <si>
    <t>CS-1054</t>
  </si>
  <si>
    <t>CS-1055</t>
  </si>
  <si>
    <t>CS-1056</t>
  </si>
  <si>
    <t>CS-1057</t>
  </si>
  <si>
    <t>CS-1058</t>
  </si>
  <si>
    <t>CS-1059</t>
  </si>
  <si>
    <t>CS-1060</t>
  </si>
  <si>
    <t>CS-1061</t>
  </si>
  <si>
    <t>CS-1062</t>
  </si>
  <si>
    <t>CS-1063</t>
  </si>
  <si>
    <t xml:space="preserve">P3 </t>
  </si>
  <si>
    <t>CS-1064</t>
  </si>
  <si>
    <t>CS-1065</t>
  </si>
  <si>
    <t>CS-1066</t>
  </si>
  <si>
    <t>CS-1067</t>
  </si>
  <si>
    <t>CS-1068</t>
  </si>
  <si>
    <t>CS-1069</t>
  </si>
  <si>
    <t>CS-1070</t>
  </si>
  <si>
    <t>CS-1071</t>
  </si>
  <si>
    <t>CS-1072</t>
  </si>
  <si>
    <t>CS-1073</t>
  </si>
  <si>
    <t>CS-1074</t>
  </si>
  <si>
    <t>CS-1075</t>
  </si>
  <si>
    <t xml:space="preserve">Liu </t>
  </si>
  <si>
    <t>CS-1076</t>
  </si>
  <si>
    <t>CS-1077</t>
  </si>
  <si>
    <t>CS-1078</t>
  </si>
  <si>
    <t>CS-1079</t>
  </si>
  <si>
    <t>CS-1080</t>
  </si>
  <si>
    <t>CS-1081</t>
  </si>
  <si>
    <t>CS-1082</t>
  </si>
  <si>
    <t>CS-1083</t>
  </si>
  <si>
    <t>CS-1084</t>
  </si>
  <si>
    <t>CS-1085</t>
  </si>
  <si>
    <t>CS-1086</t>
  </si>
  <si>
    <t>CS-1087</t>
  </si>
  <si>
    <t>CS-1088</t>
  </si>
  <si>
    <t>CS-1089</t>
  </si>
  <si>
    <t>CS-1090</t>
  </si>
  <si>
    <t>CS-1091</t>
  </si>
  <si>
    <t>CS-1092</t>
  </si>
  <si>
    <t>CS-1093</t>
  </si>
  <si>
    <t>CS-1094</t>
  </si>
  <si>
    <t>CS-1095</t>
  </si>
  <si>
    <t>CS-1096</t>
  </si>
  <si>
    <t>CS-1097</t>
  </si>
  <si>
    <t>CS-1098</t>
  </si>
  <si>
    <t>CS-1099</t>
  </si>
  <si>
    <t>2026/09/19</t>
  </si>
  <si>
    <t>CS-1100</t>
  </si>
  <si>
    <t>CS-1101</t>
  </si>
  <si>
    <t>CS-1102</t>
  </si>
  <si>
    <t>CS-1103</t>
  </si>
  <si>
    <t>CS-1104</t>
  </si>
  <si>
    <t>CS-1105</t>
  </si>
  <si>
    <t>CS-1106</t>
  </si>
  <si>
    <t>CS-1107</t>
  </si>
  <si>
    <t>2026/09/20</t>
  </si>
  <si>
    <t>CS-1108</t>
  </si>
  <si>
    <t>CS-1109</t>
  </si>
  <si>
    <t>CS-1110</t>
  </si>
  <si>
    <t>CS-1111</t>
  </si>
  <si>
    <t>CS-1112</t>
  </si>
  <si>
    <t>CS-1113</t>
  </si>
  <si>
    <t>CS-1114</t>
  </si>
  <si>
    <t>CS-1115</t>
  </si>
  <si>
    <t>CS-1116</t>
  </si>
  <si>
    <t>2026/09/23</t>
  </si>
  <si>
    <t>CS-1117</t>
  </si>
  <si>
    <t>CS-1118</t>
  </si>
  <si>
    <t>CS-1119</t>
  </si>
  <si>
    <t>CS-1120</t>
  </si>
  <si>
    <t>CS-1121</t>
  </si>
  <si>
    <t>CS-1122</t>
  </si>
  <si>
    <t>CS-1123</t>
  </si>
  <si>
    <t>CS-1124</t>
  </si>
  <si>
    <t>CS-1125</t>
  </si>
  <si>
    <t>CS-1126</t>
  </si>
  <si>
    <t>CS-1127</t>
  </si>
  <si>
    <t>25.09.2026</t>
  </si>
  <si>
    <t>CS-1128</t>
  </si>
  <si>
    <t>CS-1129</t>
  </si>
  <si>
    <t>CS-1130</t>
  </si>
  <si>
    <t>CS-1131</t>
  </si>
  <si>
    <t>CS-1132</t>
  </si>
  <si>
    <t>CS-1133</t>
  </si>
  <si>
    <t>CS-1134</t>
  </si>
  <si>
    <t>CS-1135</t>
  </si>
  <si>
    <t>CS-1136</t>
  </si>
  <si>
    <t>CS-1137</t>
  </si>
  <si>
    <t>CS-1138</t>
  </si>
  <si>
    <t>waiting customer</t>
  </si>
  <si>
    <t>CS-1139</t>
  </si>
  <si>
    <t>CS-1140</t>
  </si>
  <si>
    <t>CS-1141</t>
  </si>
  <si>
    <t>CS-1142</t>
  </si>
  <si>
    <t>CS-1143</t>
  </si>
  <si>
    <t>2026/09/28</t>
  </si>
  <si>
    <t>CS-1144</t>
  </si>
  <si>
    <t>CS-1145</t>
  </si>
  <si>
    <t>CS-1146</t>
  </si>
  <si>
    <t>CS-1147</t>
  </si>
  <si>
    <t>CS-1148</t>
  </si>
  <si>
    <t>2026/09/29</t>
  </si>
  <si>
    <t>CS-1149</t>
  </si>
  <si>
    <t xml:space="preserve">Tsai </t>
  </si>
  <si>
    <t>CS-1150</t>
  </si>
  <si>
    <t>CS-1151</t>
  </si>
  <si>
    <t>CS-1152</t>
  </si>
  <si>
    <t>CS-1153</t>
  </si>
  <si>
    <t>09-30-2026</t>
  </si>
  <si>
    <t>CS-1154</t>
  </si>
  <si>
    <t>CS-1155</t>
  </si>
  <si>
    <t>CS-1156</t>
  </si>
  <si>
    <t>CS-1157</t>
  </si>
  <si>
    <t>CS-1158</t>
  </si>
  <si>
    <t>CS-1159</t>
  </si>
  <si>
    <t>CS-1160</t>
  </si>
  <si>
    <t>CS-1161</t>
  </si>
  <si>
    <t>CS-1162</t>
  </si>
  <si>
    <t>CS-1163</t>
  </si>
  <si>
    <t>CS-1164</t>
  </si>
  <si>
    <t>CS-1165</t>
  </si>
  <si>
    <t>CS-1166</t>
  </si>
  <si>
    <t>CS-1167</t>
  </si>
  <si>
    <t>CS-1168</t>
  </si>
  <si>
    <t>CS-1169</t>
  </si>
  <si>
    <t>CS-1170</t>
  </si>
  <si>
    <t>CS-1171</t>
  </si>
  <si>
    <t>CS-1172</t>
  </si>
  <si>
    <t>CS-1173</t>
  </si>
  <si>
    <t>CS-1174</t>
  </si>
  <si>
    <t>CS-1175</t>
  </si>
  <si>
    <t>CS-1176</t>
  </si>
  <si>
    <t>CS-1177</t>
  </si>
  <si>
    <t xml:space="preserve">Lin </t>
  </si>
  <si>
    <t>CS-1178</t>
  </si>
  <si>
    <t>CS-1179</t>
  </si>
  <si>
    <t>CS-1180</t>
  </si>
  <si>
    <t>CS-1181</t>
  </si>
  <si>
    <t>CS-1182</t>
  </si>
  <si>
    <t>CS-1183</t>
  </si>
  <si>
    <t>CS-1184</t>
  </si>
  <si>
    <t>CS-1185</t>
  </si>
  <si>
    <t>CS-1186</t>
  </si>
  <si>
    <t>CS-1187</t>
  </si>
  <si>
    <t>CS-1188</t>
  </si>
  <si>
    <t>CS-1189</t>
  </si>
  <si>
    <t>CS-1190</t>
  </si>
  <si>
    <t>CS-1191</t>
  </si>
  <si>
    <t>CS-1192</t>
  </si>
  <si>
    <t>CS-1193</t>
  </si>
  <si>
    <t>CS-1194</t>
  </si>
  <si>
    <t>CS-1195</t>
  </si>
  <si>
    <t xml:space="preserve">P2 </t>
  </si>
  <si>
    <t>CS-1196</t>
  </si>
  <si>
    <t>CS-1197</t>
  </si>
  <si>
    <t>CS-1198</t>
  </si>
  <si>
    <t>CS-1199</t>
  </si>
  <si>
    <t>CS-1200</t>
  </si>
  <si>
    <t>CS-1201</t>
  </si>
  <si>
    <t>CS-1202</t>
  </si>
  <si>
    <t>CS-1203</t>
  </si>
  <si>
    <t>p1</t>
  </si>
  <si>
    <t>CS-1204</t>
  </si>
  <si>
    <t>Open</t>
  </si>
  <si>
    <t>CS-1205</t>
  </si>
  <si>
    <t>CS-1206</t>
  </si>
  <si>
    <t>CS-1207</t>
  </si>
  <si>
    <t>CS-1208</t>
  </si>
  <si>
    <t>CS-1209</t>
  </si>
  <si>
    <t>CS-1210</t>
  </si>
  <si>
    <t>CS-1211</t>
  </si>
  <si>
    <t>CS-1212</t>
  </si>
  <si>
    <t>CS-1213</t>
  </si>
  <si>
    <t>CS-1214</t>
  </si>
  <si>
    <t>CS-1215</t>
  </si>
  <si>
    <t>CS-1216</t>
  </si>
  <si>
    <t>CS-1217</t>
  </si>
  <si>
    <t>CS-1218</t>
  </si>
  <si>
    <t>CS-1219</t>
  </si>
  <si>
    <t>CS-1220</t>
  </si>
  <si>
    <t>CS-1221</t>
  </si>
  <si>
    <t>CS-1222</t>
  </si>
  <si>
    <t>CS-1223</t>
  </si>
  <si>
    <t>CS-1224</t>
  </si>
  <si>
    <t>CS-1225</t>
  </si>
  <si>
    <t>CS-1226</t>
  </si>
  <si>
    <t>CS-1227</t>
  </si>
  <si>
    <t>CS-1228</t>
  </si>
  <si>
    <t>CS-1229</t>
  </si>
  <si>
    <t>CS-1230</t>
  </si>
  <si>
    <t>CS-1231</t>
  </si>
  <si>
    <t>CS-1232</t>
  </si>
  <si>
    <t>CS-1233</t>
  </si>
  <si>
    <t>CS-1234</t>
  </si>
  <si>
    <t>CS-1235</t>
  </si>
  <si>
    <t>CS-1236</t>
  </si>
  <si>
    <t>CS-1237</t>
  </si>
  <si>
    <t>CS-1238</t>
  </si>
  <si>
    <t>CS-1239</t>
  </si>
  <si>
    <t>CS-1240</t>
  </si>
  <si>
    <t>CS-1241</t>
  </si>
  <si>
    <t>CS-1242</t>
  </si>
  <si>
    <t>CS-1243</t>
  </si>
  <si>
    <t>CS-1244</t>
  </si>
  <si>
    <t>CS-1245</t>
  </si>
  <si>
    <t>CS-1246</t>
  </si>
  <si>
    <t>CS-1247</t>
  </si>
  <si>
    <t>CS-1248</t>
  </si>
  <si>
    <t>CS-1249</t>
  </si>
  <si>
    <t>CS-1250</t>
  </si>
  <si>
    <t>CS-1251</t>
  </si>
  <si>
    <t>CS-1252</t>
  </si>
  <si>
    <t>CS-1253</t>
  </si>
  <si>
    <t>CS-1254</t>
  </si>
  <si>
    <t>CS-1255</t>
  </si>
  <si>
    <t>CS-1256</t>
  </si>
  <si>
    <t>CS-1257</t>
  </si>
  <si>
    <t>CS-1258</t>
  </si>
  <si>
    <t>CS-1259</t>
  </si>
  <si>
    <t>CS-1260</t>
  </si>
  <si>
    <t>CS-1261</t>
  </si>
  <si>
    <t>CS-1262</t>
  </si>
  <si>
    <t>CS-1263</t>
  </si>
  <si>
    <t>CS-1264</t>
  </si>
  <si>
    <t>CS-1265</t>
  </si>
  <si>
    <t>CS-1266</t>
  </si>
  <si>
    <t>CS-1267</t>
  </si>
  <si>
    <t>CS-1268</t>
  </si>
  <si>
    <t>CS-1269</t>
  </si>
  <si>
    <t>CS-1270</t>
  </si>
  <si>
    <t>CS-1271</t>
  </si>
  <si>
    <t>CS-1272</t>
  </si>
  <si>
    <t>CS-1273</t>
  </si>
  <si>
    <t>CS-1274</t>
  </si>
  <si>
    <t>CS-1275</t>
  </si>
  <si>
    <t>CS-1276</t>
  </si>
  <si>
    <t>CS-1277</t>
  </si>
  <si>
    <t>CS-1278</t>
  </si>
  <si>
    <t>CS-1279</t>
  </si>
  <si>
    <t>p2</t>
  </si>
  <si>
    <t>CS-1280</t>
  </si>
  <si>
    <t>CS-1281</t>
  </si>
  <si>
    <t>CS-1282</t>
  </si>
  <si>
    <t>CS-1283</t>
  </si>
  <si>
    <t>CS-1284</t>
  </si>
  <si>
    <t>CS-1285</t>
  </si>
  <si>
    <t xml:space="preserve">Huang </t>
  </si>
  <si>
    <t>CS-1286</t>
  </si>
  <si>
    <t>10-23-2026</t>
  </si>
  <si>
    <t>CS-1287</t>
  </si>
  <si>
    <t>CS-1288</t>
  </si>
  <si>
    <t>CS-1289</t>
  </si>
  <si>
    <t>CS-1290</t>
  </si>
  <si>
    <t>CS-1291</t>
  </si>
  <si>
    <t>CS-1292</t>
  </si>
  <si>
    <t>CS-1293</t>
  </si>
  <si>
    <t>Priority 3</t>
  </si>
  <si>
    <t>CS-1294</t>
  </si>
  <si>
    <t>CS-1295</t>
  </si>
  <si>
    <t>CS-1296</t>
  </si>
  <si>
    <t>25.10.2026</t>
  </si>
  <si>
    <t>CS-1297</t>
  </si>
  <si>
    <t>CS-1298</t>
  </si>
  <si>
    <t>CS-1299</t>
  </si>
  <si>
    <t>CS-1300</t>
  </si>
  <si>
    <t>Target_Days</t>
  </si>
  <si>
    <t>Meaning</t>
  </si>
  <si>
    <t>Tool down</t>
  </si>
  <si>
    <t>Performance degraded</t>
  </si>
  <si>
    <t>Routine / inquiry</t>
  </si>
  <si>
    <t>Assumption: SLA targets are illustrative, set for this practice dataset.</t>
  </si>
  <si>
    <t>欄位（問題出在哪一欄）</t>
    <phoneticPr fontId="6" type="noConversion"/>
  </si>
  <si>
    <t>問題（看到什麼不對）</t>
    <phoneticPr fontId="6" type="noConversion"/>
  </si>
  <si>
    <t>影響筆數</t>
    <phoneticPr fontId="6" type="noConversion"/>
  </si>
  <si>
    <t>處理方式</t>
    <phoneticPr fontId="6" type="noConversion"/>
  </si>
  <si>
    <t>P3</t>
    <phoneticPr fontId="6" type="noConversion"/>
  </si>
  <si>
    <t>P2</t>
    <phoneticPr fontId="6" type="noConversion"/>
  </si>
  <si>
    <t>P1</t>
    <phoneticPr fontId="6" type="noConversion"/>
  </si>
  <si>
    <t>Priority</t>
    <phoneticPr fontId="6" type="noConversion"/>
  </si>
  <si>
    <t>寫法不一致：小寫、尾端多空格、寫成 Priority 3</t>
    <phoneticPr fontId="6" type="noConversion"/>
  </si>
  <si>
    <t>用 EXACT 公式找出非標準寫法，手動改為 P1／P2／P3</t>
    <phoneticPr fontId="6" type="noConversion"/>
  </si>
  <si>
    <t>Unassigned</t>
  </si>
  <si>
    <t>負責人空白</t>
  </si>
  <si>
    <t>填入 Unassigned，標記為需向團隊確認，不自行推測負責人</t>
  </si>
  <si>
    <t>Wang</t>
    <phoneticPr fontId="6" type="noConversion"/>
  </si>
  <si>
    <t>Liu</t>
    <phoneticPr fontId="6" type="noConversion"/>
  </si>
  <si>
    <t>Tsai</t>
    <phoneticPr fontId="6" type="noConversion"/>
  </si>
  <si>
    <t>Lin</t>
    <phoneticPr fontId="6" type="noConversion"/>
  </si>
  <si>
    <t>Huang</t>
    <phoneticPr fontId="6" type="noConversion"/>
  </si>
  <si>
    <t>名字尾端多空格，同一人會被算成兩人</t>
    <phoneticPr fontId="6" type="noConversion"/>
  </si>
  <si>
    <t>用 EXACT＋TRIM 公式找出，重新輸入正確名字</t>
    <phoneticPr fontId="6" type="noConversion"/>
  </si>
  <si>
    <t>Waiting for parts</t>
    <phoneticPr fontId="6" type="noConversion"/>
  </si>
  <si>
    <t>Escalated to tech support</t>
    <phoneticPr fontId="6" type="noConversion"/>
  </si>
  <si>
    <t>Waiting for customer</t>
    <phoneticPr fontId="6" type="noConversion"/>
  </si>
  <si>
    <t>同一原因有多種寫法：簡寫、小寫、尾端空格</t>
  </si>
  <si>
    <t>以 4 種標準分類為準，用公式找出非標準值後統一改寫</t>
  </si>
  <si>
    <t>Open_Date</t>
    <phoneticPr fontId="6" type="noConversion"/>
  </si>
  <si>
    <t>日期存成文字，且格式不一（年/月/日、月-日-年、日.月.年），無法計算天數</t>
    <phoneticPr fontId="6" type="noConversion"/>
  </si>
  <si>
    <t>用 ISNUMBER 找出文字日期，依資料期間判斷日月順序後改成標準日期</t>
  </si>
  <si>
    <t>同一案件重複輸入，會讓開案數與逾期率偏高</t>
  </si>
  <si>
    <t>用 COUNTIF 累計次數找出第二次出現的列，確認整列內容相同後刪除，保留第一筆</t>
  </si>
  <si>
    <t>Data_Flag</t>
    <phoneticPr fontId="6" type="noConversion"/>
  </si>
  <si>
    <t>日期順序錯誤，待確認</t>
    <phoneticPr fontId="6" type="noConversion"/>
  </si>
  <si>
    <t>Open_Date / Close_Date</t>
  </si>
  <si>
    <t>結案日早於開案日</t>
  </si>
  <si>
    <t>無法判斷哪個日期錯，不自行修改；新增 Data_Flag 標記為待確認，計算處理天數時排除</t>
  </si>
  <si>
    <t>Days_to_Close</t>
    <phoneticPr fontId="6" type="noConversion"/>
  </si>
  <si>
    <t>On_Time</t>
    <phoneticPr fontId="6" type="noConversion"/>
  </si>
  <si>
    <t>Open_Week</t>
    <phoneticPr fontId="6" type="noConversion"/>
  </si>
  <si>
    <t>Close_Week</t>
    <phoneticPr fontId="6" type="noConversion"/>
  </si>
  <si>
    <t>列標籤</t>
  </si>
  <si>
    <t>總計</t>
  </si>
  <si>
    <t>計數 - Case_ID</t>
  </si>
  <si>
    <t>8月31日</t>
  </si>
  <si>
    <t>9月7日</t>
  </si>
  <si>
    <t>9月14日</t>
  </si>
  <si>
    <t>9月21日</t>
  </si>
  <si>
    <t>9月28日</t>
  </si>
  <si>
    <t>10月5日</t>
  </si>
  <si>
    <t>10月12日</t>
  </si>
  <si>
    <t>10月19日</t>
  </si>
  <si>
    <t>週</t>
  </si>
  <si>
    <t>開案數</t>
  </si>
  <si>
    <t>結案數</t>
  </si>
  <si>
    <t>準時結案率</t>
  </si>
  <si>
    <t>平均處理天數</t>
  </si>
  <si>
    <t>目前未結案件數</t>
    <phoneticPr fontId="6" type="noConversion"/>
  </si>
  <si>
    <t>計數 - Case_ID2</t>
  </si>
  <si>
    <t>整體平均處理天數</t>
  </si>
  <si>
    <t>CS-1301</t>
  </si>
  <si>
    <t>CS-1302</t>
  </si>
  <si>
    <t>CS-1303</t>
  </si>
  <si>
    <t>CS-1304</t>
  </si>
  <si>
    <t>CS-1305</t>
  </si>
  <si>
    <t>10月26日</t>
  </si>
  <si>
    <t>整體準時結案率</t>
    <phoneticPr fontId="6" type="noConversion"/>
  </si>
  <si>
    <t>Target_Days</t>
    <phoneticPr fontId="6" type="noConversion"/>
  </si>
  <si>
    <t>優先度</t>
  </si>
  <si>
    <t>準時</t>
  </si>
  <si>
    <t>逾期</t>
  </si>
  <si>
    <t>資料截止日</t>
  </si>
  <si>
    <t>Age_Days</t>
  </si>
  <si>
    <t>Over_Target</t>
  </si>
  <si>
    <t xml:space="preserve">案齡 </t>
  </si>
  <si>
    <t xml:space="preserve"> 件數</t>
  </si>
  <si>
    <t>0–2 天</t>
  </si>
  <si>
    <t>3–5 天</t>
  </si>
  <si>
    <t>6–10 天</t>
  </si>
  <si>
    <t>超過 10 天</t>
    <phoneticPr fontId="6" type="noConversion"/>
  </si>
  <si>
    <t>已超過目標天數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</si>
</sst>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_);[Red]\(0.0\)"/>
    <numFmt numFmtId="189" formatCode="0.0"/>
  </numFmts>
  <fonts count="13">
    <font>
      <sz val="11"/>
      <color theme="1"/>
      <name val="新細明體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  <charset val="136"/>
    </font>
    <font>
      <b/>
      <sz val="11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76" fontId="2" fillId="0" borderId="0" xfId="0" applyNumberFormat="1" applyFont="1"/>
    <xf numFmtId="0" fontId="4" fillId="0" borderId="0" xfId="0" applyFont="1"/>
    <xf numFmtId="0" fontId="8" fillId="0" borderId="0" xfId="0" applyFont="1"/>
    <xf numFmtId="0" fontId="9" fillId="2" borderId="0" xfId="0" applyFont="1" applyFill="1"/>
    <xf numFmtId="14" fontId="2" fillId="0" borderId="0" xfId="0" applyNumberFormat="1" applyFont="1"/>
    <xf numFmtId="14" fontId="8" fillId="0" borderId="0" xfId="0" applyNumberFormat="1" applyFont="1"/>
    <xf numFmtId="0" fontId="7" fillId="3" borderId="0" xfId="0" applyFont="1" applyFill="1"/>
    <xf numFmtId="176" fontId="8" fillId="0" borderId="0" xfId="0" applyNumberFormat="1" applyFont="1"/>
    <xf numFmtId="14" fontId="7" fillId="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 applyAlignment="1"/>
    <xf numFmtId="176" fontId="0" fillId="0" borderId="0" xfId="0" applyNumberFormat="1" applyAlignment="1">
      <alignment horizontal="left" indent="1"/>
    </xf>
    <xf numFmtId="14" fontId="10" fillId="0" borderId="0" xfId="0" applyNumberFormat="1" applyFont="1"/>
    <xf numFmtId="14" fontId="0" fillId="0" borderId="0" xfId="0" applyNumberFormat="1" applyAlignment="1">
      <alignment horizontal="right"/>
    </xf>
    <xf numFmtId="177" fontId="0" fillId="0" borderId="0" xfId="0" applyNumberFormat="1"/>
    <xf numFmtId="0" fontId="0" fillId="0" borderId="0" xfId="0" applyNumberFormat="1"/>
    <xf numFmtId="9" fontId="0" fillId="0" borderId="0" xfId="0" applyNumberFormat="1"/>
    <xf numFmtId="0" fontId="10" fillId="0" borderId="0" xfId="0" applyFont="1"/>
    <xf numFmtId="189" fontId="11" fillId="0" borderId="0" xfId="0" applyNumberFormat="1" applyFont="1"/>
    <xf numFmtId="0" fontId="2" fillId="0" borderId="0" xfId="0" applyNumberFormat="1" applyFont="1"/>
    <xf numFmtId="0" fontId="3" fillId="3" borderId="0" xfId="0" applyFont="1" applyFill="1"/>
    <xf numFmtId="9" fontId="11" fillId="0" borderId="0" xfId="1" applyFont="1" applyAlignment="1"/>
    <xf numFmtId="0" fontId="0" fillId="0" borderId="0" xfId="0" applyFont="1"/>
    <xf numFmtId="0" fontId="12" fillId="0" borderId="0" xfId="0" applyNumberFormat="1" applyFont="1"/>
  </cellXfs>
  <cellStyles count="2">
    <cellStyle name="一般" xfId="0" builtinId="0"/>
    <cellStyle name="百分比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alignment horizontal="general" vertical="bottom" textRotation="0" wrapText="0" indent="0" justifyLastLine="0" shrinkToFit="0" readingOrder="0"/>
    </dxf>
    <dxf>
      <numFmt numFmtId="177" formatCode="0.0_);[Red]\(0.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KPI!$F$3</c:f>
              <c:strCache>
                <c:ptCount val="1"/>
                <c:pt idx="0">
                  <c:v>開案數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KPI!$E$4:$E$12</c:f>
              <c:numCache>
                <c:formatCode>m/d/yy</c:formatCode>
                <c:ptCount val="9"/>
                <c:pt idx="0">
                  <c:v>46265</c:v>
                </c:pt>
                <c:pt idx="1">
                  <c:v>46272</c:v>
                </c:pt>
                <c:pt idx="2">
                  <c:v>46279</c:v>
                </c:pt>
                <c:pt idx="3">
                  <c:v>46286</c:v>
                </c:pt>
                <c:pt idx="4">
                  <c:v>46293</c:v>
                </c:pt>
                <c:pt idx="5">
                  <c:v>46300</c:v>
                </c:pt>
                <c:pt idx="6">
                  <c:v>46307</c:v>
                </c:pt>
                <c:pt idx="7">
                  <c:v>46314</c:v>
                </c:pt>
                <c:pt idx="8">
                  <c:v>46321</c:v>
                </c:pt>
              </c:numCache>
            </c:numRef>
          </c:cat>
          <c:val>
            <c:numRef>
              <c:f>KPI!$F$4:$F$12</c:f>
              <c:numCache>
                <c:formatCode>General</c:formatCode>
                <c:ptCount val="9"/>
                <c:pt idx="0">
                  <c:v>30</c:v>
                </c:pt>
                <c:pt idx="1">
                  <c:v>37</c:v>
                </c:pt>
                <c:pt idx="2">
                  <c:v>40</c:v>
                </c:pt>
                <c:pt idx="3">
                  <c:v>30</c:v>
                </c:pt>
                <c:pt idx="4">
                  <c:v>41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0-A248-A777-ED7E6E232AF4}"/>
            </c:ext>
          </c:extLst>
        </c:ser>
        <c:ser>
          <c:idx val="1"/>
          <c:order val="1"/>
          <c:tx>
            <c:strRef>
              <c:f>KPI!$G$3</c:f>
              <c:strCache>
                <c:ptCount val="1"/>
                <c:pt idx="0">
                  <c:v>結案數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KPI!$E$4:$E$12</c:f>
              <c:numCache>
                <c:formatCode>m/d/yy</c:formatCode>
                <c:ptCount val="9"/>
                <c:pt idx="0">
                  <c:v>46265</c:v>
                </c:pt>
                <c:pt idx="1">
                  <c:v>46272</c:v>
                </c:pt>
                <c:pt idx="2">
                  <c:v>46279</c:v>
                </c:pt>
                <c:pt idx="3">
                  <c:v>46286</c:v>
                </c:pt>
                <c:pt idx="4">
                  <c:v>46293</c:v>
                </c:pt>
                <c:pt idx="5">
                  <c:v>46300</c:v>
                </c:pt>
                <c:pt idx="6">
                  <c:v>46307</c:v>
                </c:pt>
                <c:pt idx="7">
                  <c:v>46314</c:v>
                </c:pt>
                <c:pt idx="8">
                  <c:v>46321</c:v>
                </c:pt>
              </c:numCache>
            </c:numRef>
          </c:cat>
          <c:val>
            <c:numRef>
              <c:f>KPI!$G$4:$G$12</c:f>
              <c:numCache>
                <c:formatCode>General</c:formatCode>
                <c:ptCount val="9"/>
                <c:pt idx="0">
                  <c:v>13</c:v>
                </c:pt>
                <c:pt idx="1">
                  <c:v>24</c:v>
                </c:pt>
                <c:pt idx="2">
                  <c:v>31</c:v>
                </c:pt>
                <c:pt idx="3">
                  <c:v>43</c:v>
                </c:pt>
                <c:pt idx="4">
                  <c:v>41</c:v>
                </c:pt>
                <c:pt idx="5">
                  <c:v>33</c:v>
                </c:pt>
                <c:pt idx="6">
                  <c:v>39</c:v>
                </c:pt>
                <c:pt idx="7">
                  <c:v>36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0-A248-A777-ED7E6E232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614976"/>
        <c:axId val="148604672"/>
      </c:barChart>
      <c:catAx>
        <c:axId val="148614976"/>
        <c:scaling>
          <c:orientation val="minMax"/>
        </c:scaling>
        <c:delete val="0"/>
        <c:axPos val="b"/>
        <c:numFmt formatCode="m/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8604672"/>
        <c:crosses val="autoZero"/>
        <c:auto val="0"/>
        <c:lblAlgn val="ctr"/>
        <c:lblOffset val="100"/>
        <c:noMultiLvlLbl val="0"/>
      </c:catAx>
      <c:valAx>
        <c:axId val="1486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86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17</xdr:row>
      <xdr:rowOff>152400</xdr:rowOff>
    </xdr:from>
    <xdr:to>
      <xdr:col>13</xdr:col>
      <xdr:colOff>215900</xdr:colOff>
      <xdr:row>34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128FB31-708E-70B5-EBE0-C841B5A7A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ffany" refreshedDate="46324.651718287038" createdVersion="8" refreshedVersion="8" minRefreshableVersion="3" recordCount="305" xr:uid="{C62CBACA-1B9F-7C48-8453-9565F9B037EA}">
  <cacheSource type="worksheet">
    <worksheetSource name="Cases_Tbl"/>
  </cacheSource>
  <cacheFields count="17">
    <cacheField name="Case_ID" numFmtId="0">
      <sharedItems/>
    </cacheField>
    <cacheField name="Open_Date" numFmtId="0">
      <sharedItems containsSemiMixedTypes="0" containsNonDate="0" containsDate="1" containsString="0" minDate="2026-08-31T00:00:00" maxDate="2026-10-30T00:00:00"/>
    </cacheField>
    <cacheField name="Close_Date" numFmtId="0">
      <sharedItems containsNonDate="0" containsDate="1" containsString="0" containsBlank="1" minDate="2026-09-01T00:00:00" maxDate="2026-10-30T00:00:00"/>
    </cacheField>
    <cacheField name="Status" numFmtId="0">
      <sharedItems/>
    </cacheField>
    <cacheField name="Priority" numFmtId="0">
      <sharedItems/>
    </cacheField>
    <cacheField name="Case_Type" numFmtId="0">
      <sharedItems/>
    </cacheField>
    <cacheField name="Customer_Site" numFmtId="0">
      <sharedItems/>
    </cacheField>
    <cacheField name="Owner" numFmtId="0">
      <sharedItems containsBlank="1"/>
    </cacheField>
    <cacheField name="Delay_Reason" numFmtId="0">
      <sharedItems containsBlank="1" count="5">
        <m/>
        <s v="Waiting for customer"/>
        <s v="Waiting for parts"/>
        <s v="Waiting for engineer"/>
        <s v="Escalated to tech support"/>
      </sharedItems>
    </cacheField>
    <cacheField name="Data_Flag" numFmtId="0">
      <sharedItems containsBlank="1"/>
    </cacheField>
    <cacheField name="欄1" numFmtId="0">
      <sharedItems containsSemiMixedTypes="0" containsString="0" containsNumber="1" containsInteger="1" minValue="2" maxValue="10"/>
    </cacheField>
    <cacheField name="Days_to_Close" numFmtId="0">
      <sharedItems containsMixedTypes="1" containsNumber="1" containsInteger="1" minValue="0" maxValue="16"/>
    </cacheField>
    <cacheField name="On_Time" numFmtId="0">
      <sharedItems/>
    </cacheField>
    <cacheField name="Open_Week" numFmtId="176">
      <sharedItems containsSemiMixedTypes="0" containsNonDate="0" containsDate="1" containsString="0" minDate="2026-08-31T00:00:00" maxDate="2026-10-27T00:00:00" count="9">
        <d v="2026-08-31T00:00:00"/>
        <d v="2026-09-07T00:00:00"/>
        <d v="2026-09-14T00:00:00"/>
        <d v="2026-09-21T00:00:00"/>
        <d v="2026-09-28T00:00:00"/>
        <d v="2026-10-05T00:00:00"/>
        <d v="2026-10-12T00:00:00"/>
        <d v="2026-10-19T00:00:00"/>
        <d v="2026-10-26T00:00:00"/>
      </sharedItems>
      <fieldGroup par="16"/>
    </cacheField>
    <cacheField name="Close_Week" numFmtId="14">
      <sharedItems containsDate="1" containsMixedTypes="1" minDate="2026-08-31T00:00:00" maxDate="2026-10-27T00:00:00"/>
    </cacheField>
    <cacheField name="天 (Open_Week)" numFmtId="0" databaseField="0">
      <fieldGroup base="13">
        <rangePr groupBy="days" startDate="2026-08-31T00:00:00" endDate="2026-10-27T00:00:00"/>
        <groupItems count="368">
          <s v="&lt;2026/8/3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10/27"/>
        </groupItems>
      </fieldGroup>
    </cacheField>
    <cacheField name="月 (Open_Week)" numFmtId="0" databaseField="0">
      <fieldGroup base="13">
        <rangePr groupBy="months" startDate="2026-08-31T00:00:00" endDate="2026-10-27T00:00:00"/>
        <groupItems count="14">
          <s v="&lt;2026/8/3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0/27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CS-1001"/>
    <d v="2026-08-31T00:00:00"/>
    <d v="2026-09-01T00:00:00"/>
    <s v="Closed"/>
    <s v="P2"/>
    <s v="Customer inquiry"/>
    <s v="Fab C"/>
    <s v="Chen"/>
    <x v="0"/>
    <m/>
    <n v="5"/>
    <n v="1"/>
    <s v="Yes"/>
    <x v="0"/>
    <d v="2026-08-31T00:00:00"/>
  </r>
  <r>
    <s v="CS-1002"/>
    <d v="2026-08-31T00:00:00"/>
    <d v="2026-09-01T00:00:00"/>
    <s v="Closed"/>
    <s v="P2"/>
    <s v="Unscheduled repair"/>
    <s v="Fab A"/>
    <s v="Liu"/>
    <x v="0"/>
    <m/>
    <n v="5"/>
    <n v="1"/>
    <s v="Yes"/>
    <x v="0"/>
    <d v="2026-08-31T00:00:00"/>
  </r>
  <r>
    <s v="CS-1003"/>
    <d v="2026-08-31T00:00:00"/>
    <d v="2026-09-06T00:00:00"/>
    <s v="Closed"/>
    <s v="P3"/>
    <s v="Unscheduled repair"/>
    <s v="Fab C"/>
    <s v="Wang"/>
    <x v="0"/>
    <m/>
    <n v="10"/>
    <n v="6"/>
    <s v="Yes"/>
    <x v="0"/>
    <d v="2026-08-31T00:00:00"/>
  </r>
  <r>
    <s v="CS-1004"/>
    <d v="2026-09-01T00:00:00"/>
    <d v="2026-09-07T00:00:00"/>
    <s v="Closed"/>
    <s v="P3"/>
    <s v="Software / upgrade"/>
    <s v="Fab B"/>
    <s v="Wang"/>
    <x v="0"/>
    <m/>
    <n v="10"/>
    <n v="6"/>
    <s v="Yes"/>
    <x v="0"/>
    <d v="2026-09-07T00:00:00"/>
  </r>
  <r>
    <s v="CS-1005"/>
    <d v="2026-09-01T00:00:00"/>
    <d v="2026-09-03T00:00:00"/>
    <s v="Closed"/>
    <s v="P2"/>
    <s v="Part replacement"/>
    <s v="Fab B"/>
    <s v="Chen"/>
    <x v="0"/>
    <m/>
    <n v="5"/>
    <n v="2"/>
    <s v="Yes"/>
    <x v="0"/>
    <d v="2026-08-31T00:00:00"/>
  </r>
  <r>
    <s v="CS-1006"/>
    <d v="2026-09-01T00:00:00"/>
    <d v="2026-09-03T00:00:00"/>
    <s v="Closed"/>
    <s v="P1"/>
    <s v="Customer inquiry"/>
    <s v="Fab C"/>
    <s v="Lin"/>
    <x v="0"/>
    <m/>
    <n v="2"/>
    <n v="2"/>
    <s v="Yes"/>
    <x v="0"/>
    <d v="2026-08-31T00:00:00"/>
  </r>
  <r>
    <s v="CS-1007"/>
    <d v="2026-09-01T00:00:00"/>
    <d v="2026-09-02T00:00:00"/>
    <s v="Closed"/>
    <s v="P2"/>
    <s v="Unscheduled repair"/>
    <s v="Fab C"/>
    <s v="Liu"/>
    <x v="0"/>
    <m/>
    <n v="5"/>
    <n v="1"/>
    <s v="Yes"/>
    <x v="0"/>
    <d v="2026-08-31T00:00:00"/>
  </r>
  <r>
    <s v="CS-1008"/>
    <d v="2026-09-01T00:00:00"/>
    <d v="2026-09-01T00:00:00"/>
    <s v="Closed"/>
    <s v="P1"/>
    <s v="Preventive maintenance"/>
    <s v="Fab A"/>
    <s v="Tsai"/>
    <x v="0"/>
    <m/>
    <n v="2"/>
    <n v="0"/>
    <s v="Yes"/>
    <x v="0"/>
    <d v="2026-08-31T00:00:00"/>
  </r>
  <r>
    <s v="CS-1009"/>
    <d v="2026-09-02T00:00:00"/>
    <d v="2026-09-06T00:00:00"/>
    <s v="Closed"/>
    <s v="P2"/>
    <s v="Part replacement"/>
    <s v="Fab A"/>
    <s v="Liu"/>
    <x v="0"/>
    <m/>
    <n v="5"/>
    <n v="4"/>
    <s v="Yes"/>
    <x v="0"/>
    <d v="2026-08-31T00:00:00"/>
  </r>
  <r>
    <s v="CS-1010"/>
    <d v="2026-09-02T00:00:00"/>
    <d v="2026-09-07T00:00:00"/>
    <s v="Closed"/>
    <s v="P2"/>
    <s v="Preventive maintenance"/>
    <s v="Fab C"/>
    <s v="Chen"/>
    <x v="0"/>
    <m/>
    <n v="5"/>
    <n v="5"/>
    <s v="Yes"/>
    <x v="0"/>
    <d v="2026-09-07T00:00:00"/>
  </r>
  <r>
    <s v="CS-1011"/>
    <d v="2026-09-03T00:00:00"/>
    <d v="2026-09-17T00:00:00"/>
    <s v="Closed"/>
    <s v="P3"/>
    <s v="Customer inquiry"/>
    <s v="Fab A"/>
    <s v="Chen"/>
    <x v="1"/>
    <m/>
    <n v="10"/>
    <n v="14"/>
    <s v="No"/>
    <x v="0"/>
    <d v="2026-09-14T00:00:00"/>
  </r>
  <r>
    <s v="CS-1012"/>
    <d v="2026-09-03T00:00:00"/>
    <d v="2026-09-18T00:00:00"/>
    <s v="Closed"/>
    <s v="P3"/>
    <s v="Unscheduled repair"/>
    <s v="Fab A"/>
    <s v="Huang"/>
    <x v="2"/>
    <m/>
    <n v="10"/>
    <n v="15"/>
    <s v="No"/>
    <x v="0"/>
    <d v="2026-09-14T00:00:00"/>
  </r>
  <r>
    <s v="CS-1013"/>
    <d v="2026-09-03T00:00:00"/>
    <d v="2026-09-06T00:00:00"/>
    <s v="Closed"/>
    <s v="P1"/>
    <s v="Software / upgrade"/>
    <s v="Fab C"/>
    <s v="Huang"/>
    <x v="2"/>
    <m/>
    <n v="2"/>
    <n v="3"/>
    <s v="No"/>
    <x v="0"/>
    <d v="2026-08-31T00:00:00"/>
  </r>
  <r>
    <s v="CS-1014"/>
    <d v="2026-09-03T00:00:00"/>
    <d v="2026-09-04T00:00:00"/>
    <s v="Closed"/>
    <s v="P2"/>
    <s v="Unscheduled repair"/>
    <s v="Fab A"/>
    <s v="Wang"/>
    <x v="0"/>
    <m/>
    <n v="5"/>
    <n v="1"/>
    <s v="Yes"/>
    <x v="0"/>
    <d v="2026-08-31T00:00:00"/>
  </r>
  <r>
    <s v="CS-1015"/>
    <d v="2026-09-03T00:00:00"/>
    <d v="2026-09-14T00:00:00"/>
    <s v="Closed"/>
    <s v="P3"/>
    <s v="Part replacement"/>
    <s v="Fab B"/>
    <s v="Wang"/>
    <x v="3"/>
    <m/>
    <n v="10"/>
    <n v="11"/>
    <s v="No"/>
    <x v="0"/>
    <d v="2026-09-14T00:00:00"/>
  </r>
  <r>
    <s v="CS-1016"/>
    <d v="2026-09-03T00:00:00"/>
    <d v="2026-09-04T00:00:00"/>
    <s v="Closed"/>
    <s v="P2"/>
    <s v="Part replacement"/>
    <s v="Fab A"/>
    <s v="Huang"/>
    <x v="0"/>
    <m/>
    <n v="5"/>
    <n v="1"/>
    <s v="Yes"/>
    <x v="0"/>
    <d v="2026-08-31T00:00:00"/>
  </r>
  <r>
    <s v="CS-1017"/>
    <d v="2026-09-04T00:00:00"/>
    <d v="2026-09-04T00:00:00"/>
    <s v="Closed"/>
    <s v="P1"/>
    <s v="Unscheduled repair"/>
    <s v="Fab A"/>
    <s v="Lin"/>
    <x v="0"/>
    <m/>
    <n v="2"/>
    <n v="0"/>
    <s v="Yes"/>
    <x v="0"/>
    <d v="2026-08-31T00:00:00"/>
  </r>
  <r>
    <s v="CS-1018"/>
    <d v="2026-09-04T00:00:00"/>
    <d v="2026-09-10T00:00:00"/>
    <s v="Closed"/>
    <s v="P3"/>
    <s v="Customer inquiry"/>
    <s v="Fab C"/>
    <s v="Wang"/>
    <x v="0"/>
    <m/>
    <n v="10"/>
    <n v="6"/>
    <s v="Yes"/>
    <x v="0"/>
    <d v="2026-09-07T00:00:00"/>
  </r>
  <r>
    <s v="CS-1019"/>
    <d v="2026-09-04T00:00:00"/>
    <d v="2026-09-11T00:00:00"/>
    <s v="Closed"/>
    <s v="P3"/>
    <s v="Part replacement"/>
    <s v="Fab A"/>
    <s v="Lin"/>
    <x v="0"/>
    <m/>
    <n v="10"/>
    <n v="7"/>
    <s v="Yes"/>
    <x v="0"/>
    <d v="2026-09-07T00:00:00"/>
  </r>
  <r>
    <s v="CS-1020"/>
    <d v="2026-09-04T00:00:00"/>
    <d v="2026-09-06T00:00:00"/>
    <s v="Closed"/>
    <s v="P1"/>
    <s v="Customer inquiry"/>
    <s v="Fab C"/>
    <s v="Huang"/>
    <x v="0"/>
    <m/>
    <n v="2"/>
    <n v="2"/>
    <s v="Yes"/>
    <x v="0"/>
    <d v="2026-08-31T00:00:00"/>
  </r>
  <r>
    <s v="CS-1021"/>
    <d v="2026-09-04T00:00:00"/>
    <d v="2026-09-14T00:00:00"/>
    <s v="Closed"/>
    <s v="P3"/>
    <s v="Part replacement"/>
    <s v="Fab C"/>
    <s v="Lin"/>
    <x v="0"/>
    <m/>
    <n v="10"/>
    <n v="10"/>
    <s v="Yes"/>
    <x v="0"/>
    <d v="2026-09-14T00:00:00"/>
  </r>
  <r>
    <s v="CS-1022"/>
    <d v="2026-09-04T00:00:00"/>
    <d v="2026-09-13T00:00:00"/>
    <s v="Closed"/>
    <s v="P3"/>
    <s v="Unscheduled repair"/>
    <s v="Fab A"/>
    <s v="Wang"/>
    <x v="0"/>
    <m/>
    <n v="10"/>
    <n v="9"/>
    <s v="Yes"/>
    <x v="0"/>
    <d v="2026-09-07T00:00:00"/>
  </r>
  <r>
    <s v="CS-1023"/>
    <d v="2026-09-04T00:00:00"/>
    <d v="2026-09-09T00:00:00"/>
    <s v="Closed"/>
    <s v="P2"/>
    <s v="Preventive maintenance"/>
    <s v="Fab C"/>
    <s v="Tsai"/>
    <x v="0"/>
    <m/>
    <n v="5"/>
    <n v="5"/>
    <s v="Yes"/>
    <x v="0"/>
    <d v="2026-09-07T00:00:00"/>
  </r>
  <r>
    <s v="CS-1024"/>
    <d v="2026-09-05T00:00:00"/>
    <d v="2026-09-14T00:00:00"/>
    <s v="Closed"/>
    <s v="P3"/>
    <s v="Preventive maintenance"/>
    <s v="Fab C"/>
    <s v="Chen"/>
    <x v="0"/>
    <m/>
    <n v="10"/>
    <n v="9"/>
    <s v="Yes"/>
    <x v="0"/>
    <d v="2026-09-14T00:00:00"/>
  </r>
  <r>
    <s v="CS-1025"/>
    <d v="2026-09-05T00:00:00"/>
    <d v="2026-09-12T00:00:00"/>
    <s v="Closed"/>
    <s v="P3"/>
    <s v="Unscheduled repair"/>
    <s v="Fab B"/>
    <s v="Lin"/>
    <x v="0"/>
    <m/>
    <n v="10"/>
    <n v="7"/>
    <s v="Yes"/>
    <x v="0"/>
    <d v="2026-09-07T00:00:00"/>
  </r>
  <r>
    <s v="CS-1026"/>
    <d v="2026-09-05T00:00:00"/>
    <d v="2026-09-13T00:00:00"/>
    <s v="Closed"/>
    <s v="P2"/>
    <s v="Customer inquiry"/>
    <s v="Fab A"/>
    <s v="Wang"/>
    <x v="2"/>
    <m/>
    <n v="5"/>
    <n v="8"/>
    <s v="No"/>
    <x v="0"/>
    <d v="2026-09-07T00:00:00"/>
  </r>
  <r>
    <s v="CS-1027"/>
    <d v="2026-09-06T00:00:00"/>
    <d v="2026-09-15T00:00:00"/>
    <s v="Closed"/>
    <s v="P3"/>
    <s v="Preventive maintenance"/>
    <s v="Fab C"/>
    <s v="Tsai"/>
    <x v="0"/>
    <m/>
    <n v="10"/>
    <n v="9"/>
    <s v="Yes"/>
    <x v="0"/>
    <d v="2026-09-14T00:00:00"/>
  </r>
  <r>
    <s v="CS-1028"/>
    <d v="2026-09-06T00:00:00"/>
    <d v="2026-09-15T00:00:00"/>
    <s v="Closed"/>
    <s v="P3"/>
    <s v="Customer inquiry"/>
    <s v="Fab B"/>
    <s v="Liu"/>
    <x v="0"/>
    <m/>
    <n v="10"/>
    <n v="9"/>
    <s v="Yes"/>
    <x v="0"/>
    <d v="2026-09-14T00:00:00"/>
  </r>
  <r>
    <s v="CS-1029"/>
    <d v="2026-09-06T00:00:00"/>
    <d v="2026-09-22T00:00:00"/>
    <s v="Closed"/>
    <s v="P3"/>
    <s v="Unscheduled repair"/>
    <s v="Fab A"/>
    <s v="Chen"/>
    <x v="2"/>
    <m/>
    <n v="10"/>
    <n v="16"/>
    <s v="No"/>
    <x v="0"/>
    <d v="2026-09-21T00:00:00"/>
  </r>
  <r>
    <s v="CS-1030"/>
    <d v="2026-09-06T00:00:00"/>
    <d v="2026-09-12T00:00:00"/>
    <s v="Closed"/>
    <s v="P2"/>
    <s v="Customer inquiry"/>
    <s v="Fab A"/>
    <s v="Lin"/>
    <x v="2"/>
    <m/>
    <n v="5"/>
    <n v="6"/>
    <s v="No"/>
    <x v="0"/>
    <d v="2026-09-07T00:00:00"/>
  </r>
  <r>
    <s v="CS-1031"/>
    <d v="2026-09-07T00:00:00"/>
    <d v="2026-09-15T00:00:00"/>
    <s v="Closed"/>
    <s v="P3"/>
    <s v="Part replacement"/>
    <s v="Fab A"/>
    <s v="Wang"/>
    <x v="0"/>
    <m/>
    <n v="10"/>
    <n v="8"/>
    <s v="Yes"/>
    <x v="1"/>
    <d v="2026-09-14T00:00:00"/>
  </r>
  <r>
    <s v="CS-1032"/>
    <d v="2026-09-07T00:00:00"/>
    <d v="2026-09-13T00:00:00"/>
    <s v="Closed"/>
    <s v="P3"/>
    <s v="Part replacement"/>
    <s v="Fab C"/>
    <s v="Lin"/>
    <x v="0"/>
    <m/>
    <n v="10"/>
    <n v="6"/>
    <s v="Yes"/>
    <x v="1"/>
    <d v="2026-09-07T00:00:00"/>
  </r>
  <r>
    <s v="CS-1033"/>
    <d v="2026-09-07T00:00:00"/>
    <d v="2026-09-11T00:00:00"/>
    <s v="Closed"/>
    <s v="P2"/>
    <s v="Part replacement"/>
    <s v="Fab A"/>
    <s v="Tsai"/>
    <x v="0"/>
    <m/>
    <n v="5"/>
    <n v="4"/>
    <s v="Yes"/>
    <x v="1"/>
    <d v="2026-09-07T00:00:00"/>
  </r>
  <r>
    <s v="CS-1034"/>
    <d v="2026-09-07T00:00:00"/>
    <d v="2026-09-12T00:00:00"/>
    <s v="Closed"/>
    <s v="P2"/>
    <s v="Part replacement"/>
    <s v="Fab B"/>
    <s v="Liu"/>
    <x v="0"/>
    <m/>
    <n v="5"/>
    <n v="5"/>
    <s v="Yes"/>
    <x v="1"/>
    <d v="2026-09-07T00:00:00"/>
  </r>
  <r>
    <s v="CS-1035"/>
    <d v="2026-09-07T00:00:00"/>
    <d v="2026-09-08T00:00:00"/>
    <s v="Closed"/>
    <s v="P1"/>
    <s v="Customer inquiry"/>
    <s v="Fab A"/>
    <s v="Lin"/>
    <x v="0"/>
    <m/>
    <n v="2"/>
    <n v="1"/>
    <s v="Yes"/>
    <x v="1"/>
    <d v="2026-09-07T00:00:00"/>
  </r>
  <r>
    <s v="CS-1036"/>
    <d v="2026-09-07T00:00:00"/>
    <d v="2026-09-08T00:00:00"/>
    <s v="Closed"/>
    <s v="P1"/>
    <s v="Unscheduled repair"/>
    <s v="Fab C"/>
    <s v="Wang"/>
    <x v="0"/>
    <m/>
    <n v="2"/>
    <n v="1"/>
    <s v="Yes"/>
    <x v="1"/>
    <d v="2026-09-07T00:00:00"/>
  </r>
  <r>
    <s v="CS-1037"/>
    <d v="2026-09-08T00:00:00"/>
    <d v="2026-09-23T00:00:00"/>
    <s v="Closed"/>
    <s v="P3"/>
    <s v="Customer inquiry"/>
    <s v="Fab B"/>
    <s v="Chen"/>
    <x v="4"/>
    <m/>
    <n v="10"/>
    <n v="15"/>
    <s v="No"/>
    <x v="1"/>
    <d v="2026-09-21T00:00:00"/>
  </r>
  <r>
    <s v="CS-1038"/>
    <d v="2026-09-08T00:00:00"/>
    <d v="2026-09-15T00:00:00"/>
    <s v="Closed"/>
    <s v="P3"/>
    <s v="Customer inquiry"/>
    <s v="Fab B"/>
    <s v="Huang"/>
    <x v="0"/>
    <m/>
    <n v="10"/>
    <n v="7"/>
    <s v="Yes"/>
    <x v="1"/>
    <d v="2026-09-14T00:00:00"/>
  </r>
  <r>
    <s v="CS-1039"/>
    <d v="2026-09-08T00:00:00"/>
    <d v="2026-09-12T00:00:00"/>
    <s v="Closed"/>
    <s v="P2"/>
    <s v="Part replacement"/>
    <s v="Fab A"/>
    <s v="Tsai"/>
    <x v="0"/>
    <m/>
    <n v="5"/>
    <n v="4"/>
    <s v="Yes"/>
    <x v="1"/>
    <d v="2026-09-07T00:00:00"/>
  </r>
  <r>
    <s v="CS-1040"/>
    <d v="2026-09-08T00:00:00"/>
    <d v="2026-09-08T00:00:00"/>
    <s v="Closed"/>
    <s v="P1"/>
    <s v="Unscheduled repair"/>
    <s v="Fab A"/>
    <s v="Chen"/>
    <x v="0"/>
    <m/>
    <n v="2"/>
    <n v="0"/>
    <s v="Yes"/>
    <x v="1"/>
    <d v="2026-09-07T00:00:00"/>
  </r>
  <r>
    <s v="CS-1041"/>
    <d v="2026-09-08T00:00:00"/>
    <d v="2026-09-11T00:00:00"/>
    <s v="Closed"/>
    <s v="P2"/>
    <s v="Part replacement"/>
    <s v="Fab B"/>
    <s v="Tsai"/>
    <x v="0"/>
    <m/>
    <n v="5"/>
    <n v="3"/>
    <s v="Yes"/>
    <x v="1"/>
    <d v="2026-09-07T00:00:00"/>
  </r>
  <r>
    <s v="CS-1042"/>
    <d v="2026-09-08T00:00:00"/>
    <d v="2026-09-09T00:00:00"/>
    <s v="Closed"/>
    <s v="P1"/>
    <s v="Software / upgrade"/>
    <s v="Fab C"/>
    <s v="Lin"/>
    <x v="0"/>
    <m/>
    <n v="2"/>
    <n v="1"/>
    <s v="Yes"/>
    <x v="1"/>
    <d v="2026-09-07T00:00:00"/>
  </r>
  <r>
    <s v="CS-1043"/>
    <d v="2026-09-08T00:00:00"/>
    <d v="2026-09-10T00:00:00"/>
    <s v="Closed"/>
    <s v="P2"/>
    <s v="Preventive maintenance"/>
    <s v="Fab A"/>
    <s v="Lin"/>
    <x v="0"/>
    <m/>
    <n v="5"/>
    <n v="2"/>
    <s v="Yes"/>
    <x v="1"/>
    <d v="2026-09-07T00:00:00"/>
  </r>
  <r>
    <s v="CS-1044"/>
    <d v="2026-09-08T00:00:00"/>
    <d v="2026-09-17T00:00:00"/>
    <s v="Closed"/>
    <s v="P3"/>
    <s v="Preventive maintenance"/>
    <s v="Fab A"/>
    <s v="Liu"/>
    <x v="0"/>
    <m/>
    <n v="10"/>
    <n v="9"/>
    <s v="Yes"/>
    <x v="1"/>
    <d v="2026-09-14T00:00:00"/>
  </r>
  <r>
    <s v="CS-1045"/>
    <d v="2026-09-08T00:00:00"/>
    <d v="2026-09-15T00:00:00"/>
    <s v="Closed"/>
    <s v="P3"/>
    <s v="Software / upgrade"/>
    <s v="Fab C"/>
    <s v="Tsai"/>
    <x v="0"/>
    <m/>
    <n v="10"/>
    <n v="7"/>
    <s v="Yes"/>
    <x v="1"/>
    <d v="2026-09-14T00:00:00"/>
  </r>
  <r>
    <s v="CS-1046"/>
    <d v="2026-09-08T00:00:00"/>
    <d v="2026-09-18T00:00:00"/>
    <s v="Closed"/>
    <s v="P2"/>
    <s v="Part replacement"/>
    <s v="Fab B"/>
    <s v="Tsai"/>
    <x v="1"/>
    <m/>
    <n v="5"/>
    <n v="10"/>
    <s v="No"/>
    <x v="1"/>
    <d v="2026-09-14T00:00:00"/>
  </r>
  <r>
    <s v="CS-1047"/>
    <d v="2026-09-09T00:00:00"/>
    <d v="2026-09-18T00:00:00"/>
    <s v="Closed"/>
    <s v="P2"/>
    <s v="Software / upgrade"/>
    <s v="Fab B"/>
    <s v="Tsai"/>
    <x v="2"/>
    <m/>
    <n v="5"/>
    <n v="9"/>
    <s v="No"/>
    <x v="1"/>
    <d v="2026-09-14T00:00:00"/>
  </r>
  <r>
    <s v="CS-1048"/>
    <d v="2026-09-09T00:00:00"/>
    <d v="2026-09-15T00:00:00"/>
    <s v="Closed"/>
    <s v="P3"/>
    <s v="Software / upgrade"/>
    <s v="Fab B"/>
    <s v="Huang"/>
    <x v="0"/>
    <m/>
    <n v="10"/>
    <n v="6"/>
    <s v="Yes"/>
    <x v="1"/>
    <d v="2026-09-14T00:00:00"/>
  </r>
  <r>
    <s v="CS-1049"/>
    <d v="2026-09-09T00:00:00"/>
    <d v="2026-09-21T00:00:00"/>
    <s v="Closed"/>
    <s v="P3"/>
    <s v="Unscheduled repair"/>
    <s v="Fab A"/>
    <s v="Chen"/>
    <x v="4"/>
    <m/>
    <n v="10"/>
    <n v="12"/>
    <s v="No"/>
    <x v="1"/>
    <d v="2026-09-21T00:00:00"/>
  </r>
  <r>
    <s v="CS-1050"/>
    <d v="2026-09-09T00:00:00"/>
    <d v="2026-09-09T00:00:00"/>
    <s v="Closed"/>
    <s v="P1"/>
    <s v="Unscheduled repair"/>
    <s v="Fab B"/>
    <s v="Huang"/>
    <x v="0"/>
    <m/>
    <n v="2"/>
    <n v="0"/>
    <s v="Yes"/>
    <x v="1"/>
    <d v="2026-09-07T00:00:00"/>
  </r>
  <r>
    <s v="CS-1051"/>
    <d v="2026-09-09T00:00:00"/>
    <d v="2026-09-10T00:00:00"/>
    <s v="Closed"/>
    <s v="P2"/>
    <s v="Part replacement"/>
    <s v="Fab B"/>
    <s v="Huang"/>
    <x v="0"/>
    <m/>
    <n v="5"/>
    <n v="1"/>
    <s v="Yes"/>
    <x v="1"/>
    <d v="2026-09-07T00:00:00"/>
  </r>
  <r>
    <s v="CS-1052"/>
    <d v="2026-09-09T00:00:00"/>
    <d v="2026-09-21T00:00:00"/>
    <s v="Closed"/>
    <s v="P3"/>
    <s v="Customer inquiry"/>
    <s v="Fab B"/>
    <s v="Tsai"/>
    <x v="2"/>
    <m/>
    <n v="10"/>
    <n v="12"/>
    <s v="No"/>
    <x v="1"/>
    <d v="2026-09-21T00:00:00"/>
  </r>
  <r>
    <s v="CS-1053"/>
    <d v="2026-09-09T00:00:00"/>
    <d v="2026-09-20T00:00:00"/>
    <s v="Closed"/>
    <s v="P3"/>
    <s v="Preventive maintenance"/>
    <s v="Fab A"/>
    <s v="Liu"/>
    <x v="2"/>
    <m/>
    <n v="10"/>
    <n v="11"/>
    <s v="No"/>
    <x v="1"/>
    <d v="2026-09-14T00:00:00"/>
  </r>
  <r>
    <s v="CS-1054"/>
    <d v="2026-09-09T00:00:00"/>
    <d v="2026-09-10T00:00:00"/>
    <s v="Closed"/>
    <s v="P1"/>
    <s v="Part replacement"/>
    <s v="Fab C"/>
    <s v="Lin"/>
    <x v="0"/>
    <m/>
    <n v="2"/>
    <n v="1"/>
    <s v="Yes"/>
    <x v="1"/>
    <d v="2026-09-07T00:00:00"/>
  </r>
  <r>
    <s v="CS-1055"/>
    <d v="2026-09-09T00:00:00"/>
    <d v="2026-09-15T00:00:00"/>
    <s v="Closed"/>
    <s v="P3"/>
    <s v="Unscheduled repair"/>
    <s v="Fab A"/>
    <s v="Lin"/>
    <x v="0"/>
    <m/>
    <n v="10"/>
    <n v="6"/>
    <s v="Yes"/>
    <x v="1"/>
    <d v="2026-09-14T00:00:00"/>
  </r>
  <r>
    <s v="CS-1056"/>
    <d v="2026-09-10T00:00:00"/>
    <d v="2026-09-15T00:00:00"/>
    <s v="Closed"/>
    <s v="P2"/>
    <s v="Part replacement"/>
    <s v="Fab A"/>
    <s v="Liu"/>
    <x v="0"/>
    <m/>
    <n v="5"/>
    <n v="5"/>
    <s v="Yes"/>
    <x v="1"/>
    <d v="2026-09-14T00:00:00"/>
  </r>
  <r>
    <s v="CS-1057"/>
    <d v="2026-09-10T00:00:00"/>
    <d v="2026-09-18T00:00:00"/>
    <s v="Closed"/>
    <s v="P3"/>
    <s v="Part replacement"/>
    <s v="Fab B"/>
    <s v="Lin"/>
    <x v="0"/>
    <m/>
    <n v="10"/>
    <n v="8"/>
    <s v="Yes"/>
    <x v="1"/>
    <d v="2026-09-14T00:00:00"/>
  </r>
  <r>
    <s v="CS-1058"/>
    <d v="2026-09-11T00:00:00"/>
    <d v="2026-09-21T00:00:00"/>
    <s v="Closed"/>
    <s v="P3"/>
    <s v="Part replacement"/>
    <s v="Fab A"/>
    <s v="Lin"/>
    <x v="0"/>
    <m/>
    <n v="10"/>
    <n v="10"/>
    <s v="Yes"/>
    <x v="1"/>
    <d v="2026-09-21T00:00:00"/>
  </r>
  <r>
    <s v="CS-1059"/>
    <d v="2026-09-12T00:00:00"/>
    <d v="2026-09-13T00:00:00"/>
    <s v="Closed"/>
    <s v="P1"/>
    <s v="Part replacement"/>
    <s v="Fab B"/>
    <s v="Liu"/>
    <x v="0"/>
    <m/>
    <n v="2"/>
    <n v="1"/>
    <s v="Yes"/>
    <x v="1"/>
    <d v="2026-09-07T00:00:00"/>
  </r>
  <r>
    <s v="CS-1060"/>
    <d v="2026-09-12T00:00:00"/>
    <d v="2026-09-15T00:00:00"/>
    <s v="Closed"/>
    <s v="P2"/>
    <s v="Preventive maintenance"/>
    <s v="Fab B"/>
    <s v="Chen"/>
    <x v="0"/>
    <m/>
    <n v="5"/>
    <n v="3"/>
    <s v="Yes"/>
    <x v="1"/>
    <d v="2026-09-14T00:00:00"/>
  </r>
  <r>
    <s v="CS-1061"/>
    <d v="2026-09-12T00:00:00"/>
    <d v="2026-09-14T00:00:00"/>
    <s v="Closed"/>
    <s v="P2"/>
    <s v="Customer inquiry"/>
    <s v="Fab C"/>
    <s v="Tsai"/>
    <x v="0"/>
    <m/>
    <n v="5"/>
    <n v="2"/>
    <s v="Yes"/>
    <x v="1"/>
    <d v="2026-09-14T00:00:00"/>
  </r>
  <r>
    <s v="CS-1062"/>
    <d v="2026-09-12T00:00:00"/>
    <d v="2026-09-12T00:00:00"/>
    <s v="Closed"/>
    <s v="P1"/>
    <s v="Part replacement"/>
    <s v="Fab C"/>
    <s v="Wang"/>
    <x v="0"/>
    <m/>
    <n v="2"/>
    <n v="0"/>
    <s v="Yes"/>
    <x v="1"/>
    <d v="2026-09-07T00:00:00"/>
  </r>
  <r>
    <s v="CS-1063"/>
    <d v="2026-09-12T00:00:00"/>
    <d v="2026-09-18T00:00:00"/>
    <s v="Closed"/>
    <s v="P3"/>
    <s v="Customer inquiry"/>
    <s v="Fab C"/>
    <s v="Chen"/>
    <x v="0"/>
    <m/>
    <n v="10"/>
    <n v="6"/>
    <s v="Yes"/>
    <x v="1"/>
    <d v="2026-09-14T00:00:00"/>
  </r>
  <r>
    <s v="CS-1064"/>
    <d v="2026-09-12T00:00:00"/>
    <d v="2026-09-21T00:00:00"/>
    <s v="Closed"/>
    <s v="P3"/>
    <s v="Preventive maintenance"/>
    <s v="Fab B"/>
    <s v="Huang"/>
    <x v="0"/>
    <m/>
    <n v="10"/>
    <n v="9"/>
    <s v="Yes"/>
    <x v="1"/>
    <d v="2026-09-21T00:00:00"/>
  </r>
  <r>
    <s v="CS-1065"/>
    <d v="2026-09-13T00:00:00"/>
    <d v="2026-09-18T00:00:00"/>
    <s v="Closed"/>
    <s v="P2"/>
    <s v="Part replacement"/>
    <s v="Fab B"/>
    <s v="Chen"/>
    <x v="0"/>
    <m/>
    <n v="5"/>
    <n v="5"/>
    <s v="Yes"/>
    <x v="1"/>
    <d v="2026-09-14T00:00:00"/>
  </r>
  <r>
    <s v="CS-1066"/>
    <d v="2026-09-13T00:00:00"/>
    <d v="2026-09-17T00:00:00"/>
    <s v="Closed"/>
    <s v="P1"/>
    <s v="Software / upgrade"/>
    <s v="Fab A"/>
    <s v="Wang"/>
    <x v="1"/>
    <m/>
    <n v="2"/>
    <n v="4"/>
    <s v="No"/>
    <x v="1"/>
    <d v="2026-09-14T00:00:00"/>
  </r>
  <r>
    <s v="CS-1067"/>
    <d v="2026-09-13T00:00:00"/>
    <d v="2026-09-22T00:00:00"/>
    <s v="Closed"/>
    <s v="P3"/>
    <s v="Preventive maintenance"/>
    <s v="Fab C"/>
    <s v="Tsai"/>
    <x v="0"/>
    <m/>
    <n v="10"/>
    <n v="9"/>
    <s v="Yes"/>
    <x v="1"/>
    <d v="2026-09-21T00:00:00"/>
  </r>
  <r>
    <s v="CS-1068"/>
    <d v="2026-09-14T00:00:00"/>
    <d v="2026-09-21T00:00:00"/>
    <s v="Closed"/>
    <s v="P3"/>
    <s v="Software / upgrade"/>
    <s v="Fab B"/>
    <s v="Lin"/>
    <x v="0"/>
    <m/>
    <n v="10"/>
    <n v="7"/>
    <s v="Yes"/>
    <x v="2"/>
    <d v="2026-09-21T00:00:00"/>
  </r>
  <r>
    <s v="CS-1069"/>
    <d v="2026-09-14T00:00:00"/>
    <d v="2026-09-15T00:00:00"/>
    <s v="Closed"/>
    <s v="P2"/>
    <s v="Unscheduled repair"/>
    <s v="Fab B"/>
    <s v="Wang"/>
    <x v="0"/>
    <m/>
    <n v="5"/>
    <n v="1"/>
    <s v="Yes"/>
    <x v="2"/>
    <d v="2026-09-14T00:00:00"/>
  </r>
  <r>
    <s v="CS-1070"/>
    <d v="2026-09-14T00:00:00"/>
    <d v="2026-09-21T00:00:00"/>
    <s v="Closed"/>
    <s v="P3"/>
    <s v="Part replacement"/>
    <s v="Fab C"/>
    <s v="Lin"/>
    <x v="0"/>
    <m/>
    <n v="10"/>
    <n v="7"/>
    <s v="Yes"/>
    <x v="2"/>
    <d v="2026-09-21T00:00:00"/>
  </r>
  <r>
    <s v="CS-1071"/>
    <d v="2026-09-14T00:00:00"/>
    <d v="2026-09-23T00:00:00"/>
    <s v="Closed"/>
    <s v="P3"/>
    <s v="Customer inquiry"/>
    <s v="Fab A"/>
    <s v="Huang"/>
    <x v="0"/>
    <m/>
    <n v="10"/>
    <n v="9"/>
    <s v="Yes"/>
    <x v="2"/>
    <d v="2026-09-21T00:00:00"/>
  </r>
  <r>
    <s v="CS-1072"/>
    <d v="2026-09-14T00:00:00"/>
    <d v="2026-09-20T00:00:00"/>
    <s v="Closed"/>
    <s v="P1"/>
    <s v="Unscheduled repair"/>
    <s v="Fab C"/>
    <s v="Tsai"/>
    <x v="2"/>
    <m/>
    <n v="2"/>
    <n v="6"/>
    <s v="No"/>
    <x v="2"/>
    <d v="2026-09-14T00:00:00"/>
  </r>
  <r>
    <s v="CS-1073"/>
    <d v="2026-09-15T00:00:00"/>
    <d v="2026-09-24T00:00:00"/>
    <s v="Closed"/>
    <s v="P3"/>
    <s v="Part replacement"/>
    <s v="Fab C"/>
    <s v="Huang"/>
    <x v="0"/>
    <m/>
    <n v="10"/>
    <n v="9"/>
    <s v="Yes"/>
    <x v="2"/>
    <d v="2026-09-21T00:00:00"/>
  </r>
  <r>
    <s v="CS-1074"/>
    <d v="2026-09-15T00:00:00"/>
    <d v="2026-09-29T00:00:00"/>
    <s v="Closed"/>
    <s v="P3"/>
    <s v="Customer inquiry"/>
    <s v="Fab C"/>
    <s v="Chen"/>
    <x v="1"/>
    <m/>
    <n v="10"/>
    <n v="14"/>
    <s v="No"/>
    <x v="2"/>
    <d v="2026-09-28T00:00:00"/>
  </r>
  <r>
    <s v="CS-1075"/>
    <d v="2026-09-15T00:00:00"/>
    <d v="2026-09-18T00:00:00"/>
    <s v="Closed"/>
    <s v="P2"/>
    <s v="Preventive maintenance"/>
    <s v="Fab A"/>
    <s v="Liu"/>
    <x v="0"/>
    <m/>
    <n v="5"/>
    <n v="3"/>
    <s v="Yes"/>
    <x v="2"/>
    <d v="2026-09-14T00:00:00"/>
  </r>
  <r>
    <s v="CS-1076"/>
    <d v="2026-09-15T00:00:00"/>
    <d v="2026-09-25T00:00:00"/>
    <s v="Closed"/>
    <s v="P3"/>
    <s v="Unscheduled repair"/>
    <s v="Fab B"/>
    <s v="Tsai"/>
    <x v="0"/>
    <m/>
    <n v="10"/>
    <n v="10"/>
    <s v="Yes"/>
    <x v="2"/>
    <d v="2026-09-21T00:00:00"/>
  </r>
  <r>
    <s v="CS-1077"/>
    <d v="2026-09-15T00:00:00"/>
    <d v="2026-09-25T00:00:00"/>
    <s v="Closed"/>
    <s v="P3"/>
    <s v="Customer inquiry"/>
    <s v="Fab C"/>
    <s v="Wang"/>
    <x v="0"/>
    <m/>
    <n v="10"/>
    <n v="10"/>
    <s v="Yes"/>
    <x v="2"/>
    <d v="2026-09-21T00:00:00"/>
  </r>
  <r>
    <s v="CS-1078"/>
    <d v="2026-09-16T00:00:00"/>
    <d v="2026-09-25T00:00:00"/>
    <s v="Closed"/>
    <s v="P3"/>
    <s v="Software / upgrade"/>
    <s v="Fab A"/>
    <s v="Tsai"/>
    <x v="0"/>
    <m/>
    <n v="10"/>
    <n v="9"/>
    <s v="Yes"/>
    <x v="2"/>
    <d v="2026-09-21T00:00:00"/>
  </r>
  <r>
    <s v="CS-1079"/>
    <d v="2026-09-16T00:00:00"/>
    <d v="2026-09-23T00:00:00"/>
    <s v="Closed"/>
    <s v="P3"/>
    <s v="Part replacement"/>
    <s v="Fab B"/>
    <s v="Lin"/>
    <x v="0"/>
    <m/>
    <n v="10"/>
    <n v="7"/>
    <s v="Yes"/>
    <x v="2"/>
    <d v="2026-09-21T00:00:00"/>
  </r>
  <r>
    <s v="CS-1080"/>
    <d v="2026-09-17T00:00:00"/>
    <d v="2026-09-19T00:00:00"/>
    <s v="Closed"/>
    <s v="P1"/>
    <s v="Customer inquiry"/>
    <s v="Fab B"/>
    <s v="Chen"/>
    <x v="0"/>
    <m/>
    <n v="2"/>
    <n v="2"/>
    <s v="Yes"/>
    <x v="2"/>
    <d v="2026-09-14T00:00:00"/>
  </r>
  <r>
    <s v="CS-1081"/>
    <d v="2026-09-17T00:00:00"/>
    <d v="2026-09-27T00:00:00"/>
    <s v="Closed"/>
    <s v="P3"/>
    <s v="Customer inquiry"/>
    <s v="Fab B"/>
    <s v="Liu"/>
    <x v="0"/>
    <m/>
    <n v="10"/>
    <n v="10"/>
    <s v="Yes"/>
    <x v="2"/>
    <d v="2026-09-21T00:00:00"/>
  </r>
  <r>
    <s v="CS-1082"/>
    <d v="2026-09-17T00:00:00"/>
    <d v="2026-09-25T00:00:00"/>
    <s v="Closed"/>
    <s v="P3"/>
    <s v="Part replacement"/>
    <s v="Fab B"/>
    <s v="Lin"/>
    <x v="0"/>
    <m/>
    <n v="10"/>
    <n v="8"/>
    <s v="Yes"/>
    <x v="2"/>
    <d v="2026-09-21T00:00:00"/>
  </r>
  <r>
    <s v="CS-1083"/>
    <d v="2026-09-17T00:00:00"/>
    <d v="2026-09-29T00:00:00"/>
    <s v="Closed"/>
    <s v="P3"/>
    <s v="Preventive maintenance"/>
    <s v="Fab B"/>
    <s v="Tsai"/>
    <x v="1"/>
    <m/>
    <n v="10"/>
    <n v="12"/>
    <s v="No"/>
    <x v="2"/>
    <d v="2026-09-28T00:00:00"/>
  </r>
  <r>
    <s v="CS-1084"/>
    <d v="2026-09-17T00:00:00"/>
    <d v="2026-09-21T00:00:00"/>
    <s v="Closed"/>
    <s v="P2"/>
    <s v="Part replacement"/>
    <s v="Fab A"/>
    <s v="Huang"/>
    <x v="0"/>
    <m/>
    <n v="5"/>
    <n v="4"/>
    <s v="Yes"/>
    <x v="2"/>
    <d v="2026-09-21T00:00:00"/>
  </r>
  <r>
    <s v="CS-1085"/>
    <d v="2026-09-17T00:00:00"/>
    <d v="2026-09-17T00:00:00"/>
    <s v="Closed"/>
    <s v="P1"/>
    <s v="Preventive maintenance"/>
    <s v="Fab B"/>
    <s v="Lin"/>
    <x v="0"/>
    <m/>
    <n v="2"/>
    <n v="0"/>
    <s v="Yes"/>
    <x v="2"/>
    <d v="2026-09-14T00:00:00"/>
  </r>
  <r>
    <s v="CS-1086"/>
    <d v="2026-09-18T00:00:00"/>
    <d v="2026-09-28T00:00:00"/>
    <s v="Closed"/>
    <s v="P3"/>
    <s v="Part replacement"/>
    <s v="Fab A"/>
    <s v="Liu"/>
    <x v="0"/>
    <m/>
    <n v="10"/>
    <n v="10"/>
    <s v="Yes"/>
    <x v="2"/>
    <d v="2026-09-28T00:00:00"/>
  </r>
  <r>
    <s v="CS-1087"/>
    <d v="2026-09-18T00:00:00"/>
    <d v="2026-09-23T00:00:00"/>
    <s v="Closed"/>
    <s v="P2"/>
    <s v="Part replacement"/>
    <s v="Fab B"/>
    <s v="Huang"/>
    <x v="0"/>
    <m/>
    <n v="5"/>
    <n v="5"/>
    <s v="Yes"/>
    <x v="2"/>
    <d v="2026-09-21T00:00:00"/>
  </r>
  <r>
    <s v="CS-1088"/>
    <d v="2026-09-18T00:00:00"/>
    <d v="2026-09-24T00:00:00"/>
    <s v="Closed"/>
    <s v="P2"/>
    <s v="Preventive maintenance"/>
    <s v="Fab B"/>
    <s v="Lin"/>
    <x v="2"/>
    <m/>
    <n v="5"/>
    <n v="6"/>
    <s v="No"/>
    <x v="2"/>
    <d v="2026-09-21T00:00:00"/>
  </r>
  <r>
    <s v="CS-1089"/>
    <d v="2026-09-18T00:00:00"/>
    <d v="2026-09-24T00:00:00"/>
    <s v="Closed"/>
    <s v="P3"/>
    <s v="Preventive maintenance"/>
    <s v="Fab B"/>
    <s v="Lin"/>
    <x v="0"/>
    <m/>
    <n v="10"/>
    <n v="6"/>
    <s v="Yes"/>
    <x v="2"/>
    <d v="2026-09-21T00:00:00"/>
  </r>
  <r>
    <s v="CS-1090"/>
    <d v="2026-09-18T00:00:00"/>
    <d v="2026-09-26T00:00:00"/>
    <s v="Closed"/>
    <s v="P3"/>
    <s v="Part replacement"/>
    <s v="Fab A"/>
    <s v="Chen"/>
    <x v="0"/>
    <m/>
    <n v="10"/>
    <n v="8"/>
    <s v="Yes"/>
    <x v="2"/>
    <d v="2026-09-21T00:00:00"/>
  </r>
  <r>
    <s v="CS-1091"/>
    <d v="2026-09-18T00:00:00"/>
    <d v="2026-09-21T00:00:00"/>
    <s v="Closed"/>
    <s v="P2"/>
    <s v="Software / upgrade"/>
    <s v="Fab B"/>
    <s v="Tsai"/>
    <x v="0"/>
    <m/>
    <n v="5"/>
    <n v="3"/>
    <s v="Yes"/>
    <x v="2"/>
    <d v="2026-09-21T00:00:00"/>
  </r>
  <r>
    <s v="CS-1092"/>
    <d v="2026-09-18T00:00:00"/>
    <d v="2026-09-27T00:00:00"/>
    <s v="Closed"/>
    <s v="P3"/>
    <s v="Preventive maintenance"/>
    <s v="Fab B"/>
    <s v="Huang"/>
    <x v="0"/>
    <m/>
    <n v="10"/>
    <n v="9"/>
    <s v="Yes"/>
    <x v="2"/>
    <d v="2026-09-21T00:00:00"/>
  </r>
  <r>
    <s v="CS-1093"/>
    <d v="2026-09-18T00:00:00"/>
    <d v="2026-09-21T00:00:00"/>
    <s v="Closed"/>
    <s v="P2"/>
    <s v="Software / upgrade"/>
    <s v="Fab C"/>
    <s v="Wang"/>
    <x v="0"/>
    <m/>
    <n v="5"/>
    <n v="3"/>
    <s v="Yes"/>
    <x v="2"/>
    <d v="2026-09-21T00:00:00"/>
  </r>
  <r>
    <s v="CS-1094"/>
    <d v="2026-09-19T00:00:00"/>
    <d v="2026-09-20T00:00:00"/>
    <s v="Closed"/>
    <s v="P2"/>
    <s v="Customer inquiry"/>
    <s v="Fab B"/>
    <s v="Chen"/>
    <x v="0"/>
    <m/>
    <n v="5"/>
    <n v="1"/>
    <s v="Yes"/>
    <x v="2"/>
    <d v="2026-09-14T00:00:00"/>
  </r>
  <r>
    <s v="CS-1095"/>
    <d v="2026-09-19T00:00:00"/>
    <d v="2026-09-26T00:00:00"/>
    <s v="Closed"/>
    <s v="P3"/>
    <s v="Customer inquiry"/>
    <s v="Fab B"/>
    <s v="Wang"/>
    <x v="0"/>
    <m/>
    <n v="10"/>
    <n v="7"/>
    <s v="Yes"/>
    <x v="2"/>
    <d v="2026-09-21T00:00:00"/>
  </r>
  <r>
    <s v="CS-1096"/>
    <d v="2026-09-19T00:00:00"/>
    <d v="2026-09-21T00:00:00"/>
    <s v="Closed"/>
    <s v="P2"/>
    <s v="Software / upgrade"/>
    <s v="Fab B"/>
    <s v="Tsai"/>
    <x v="0"/>
    <m/>
    <n v="5"/>
    <n v="2"/>
    <s v="Yes"/>
    <x v="2"/>
    <d v="2026-09-21T00:00:00"/>
  </r>
  <r>
    <s v="CS-1097"/>
    <d v="2026-09-19T00:00:00"/>
    <d v="2026-09-19T00:00:00"/>
    <s v="Closed"/>
    <s v="P1"/>
    <s v="Part replacement"/>
    <s v="Fab C"/>
    <s v="Wang"/>
    <x v="0"/>
    <m/>
    <n v="2"/>
    <n v="0"/>
    <s v="Yes"/>
    <x v="2"/>
    <d v="2026-09-14T00:00:00"/>
  </r>
  <r>
    <s v="CS-1098"/>
    <d v="2026-09-19T00:00:00"/>
    <d v="2026-09-30T00:00:00"/>
    <s v="Closed"/>
    <s v="P3"/>
    <s v="Part replacement"/>
    <s v="Fab A"/>
    <s v="Liu"/>
    <x v="3"/>
    <m/>
    <n v="10"/>
    <n v="11"/>
    <s v="No"/>
    <x v="2"/>
    <d v="2026-09-28T00:00:00"/>
  </r>
  <r>
    <s v="CS-1099"/>
    <d v="2026-09-19T00:00:00"/>
    <d v="2026-09-30T00:00:00"/>
    <s v="Closed"/>
    <s v="P2"/>
    <s v="Part replacement"/>
    <s v="Fab A"/>
    <s v="Wang"/>
    <x v="3"/>
    <m/>
    <n v="5"/>
    <n v="11"/>
    <s v="No"/>
    <x v="2"/>
    <d v="2026-09-28T00:00:00"/>
  </r>
  <r>
    <s v="CS-1100"/>
    <d v="2026-09-19T00:00:00"/>
    <d v="2026-09-26T00:00:00"/>
    <s v="Closed"/>
    <s v="P3"/>
    <s v="Part replacement"/>
    <s v="Fab B"/>
    <s v="Tsai"/>
    <x v="0"/>
    <m/>
    <n v="10"/>
    <n v="7"/>
    <s v="Yes"/>
    <x v="2"/>
    <d v="2026-09-21T00:00:00"/>
  </r>
  <r>
    <s v="CS-1101"/>
    <d v="2026-09-20T00:00:00"/>
    <d v="2026-09-26T00:00:00"/>
    <s v="Closed"/>
    <s v="P3"/>
    <s v="Software / upgrade"/>
    <s v="Fab B"/>
    <s v="Huang"/>
    <x v="0"/>
    <m/>
    <n v="10"/>
    <n v="6"/>
    <s v="Yes"/>
    <x v="2"/>
    <d v="2026-09-21T00:00:00"/>
  </r>
  <r>
    <s v="CS-1102"/>
    <d v="2026-09-20T00:00:00"/>
    <d v="2026-09-25T00:00:00"/>
    <s v="Closed"/>
    <s v="P2"/>
    <s v="Unscheduled repair"/>
    <s v="Fab A"/>
    <s v="Liu"/>
    <x v="0"/>
    <m/>
    <n v="5"/>
    <n v="5"/>
    <s v="Yes"/>
    <x v="2"/>
    <d v="2026-09-21T00:00:00"/>
  </r>
  <r>
    <s v="CS-1103"/>
    <d v="2026-09-20T00:00:00"/>
    <d v="2026-09-26T00:00:00"/>
    <s v="Closed"/>
    <s v="P1"/>
    <s v="Unscheduled repair"/>
    <s v="Fab C"/>
    <s v="Lin"/>
    <x v="3"/>
    <m/>
    <n v="2"/>
    <n v="6"/>
    <s v="No"/>
    <x v="2"/>
    <d v="2026-09-21T00:00:00"/>
  </r>
  <r>
    <s v="CS-1104"/>
    <d v="2026-09-20T00:00:00"/>
    <d v="2026-09-20T00:00:00"/>
    <s v="Closed"/>
    <s v="P1"/>
    <s v="Preventive maintenance"/>
    <s v="Fab B"/>
    <s v="Tsai"/>
    <x v="0"/>
    <m/>
    <n v="2"/>
    <n v="0"/>
    <s v="Yes"/>
    <x v="2"/>
    <d v="2026-09-14T00:00:00"/>
  </r>
  <r>
    <s v="CS-1105"/>
    <d v="2026-09-20T00:00:00"/>
    <d v="2026-09-22T00:00:00"/>
    <s v="Closed"/>
    <s v="P1"/>
    <s v="Customer inquiry"/>
    <s v="Fab B"/>
    <s v="Lin"/>
    <x v="0"/>
    <m/>
    <n v="2"/>
    <n v="2"/>
    <s v="Yes"/>
    <x v="2"/>
    <d v="2026-09-21T00:00:00"/>
  </r>
  <r>
    <s v="CS-1106"/>
    <d v="2026-09-20T00:00:00"/>
    <d v="2026-09-21T00:00:00"/>
    <s v="Closed"/>
    <s v="P1"/>
    <s v="Unscheduled repair"/>
    <s v="Fab B"/>
    <s v="Tsai"/>
    <x v="0"/>
    <m/>
    <n v="2"/>
    <n v="1"/>
    <s v="Yes"/>
    <x v="2"/>
    <d v="2026-09-21T00:00:00"/>
  </r>
  <r>
    <s v="CS-1107"/>
    <d v="2026-09-20T00:00:00"/>
    <d v="2026-09-28T00:00:00"/>
    <s v="Closed"/>
    <s v="P3"/>
    <s v="Preventive maintenance"/>
    <s v="Fab A"/>
    <s v="Tsai"/>
    <x v="0"/>
    <m/>
    <n v="10"/>
    <n v="8"/>
    <s v="Yes"/>
    <x v="2"/>
    <d v="2026-09-28T00:00:00"/>
  </r>
  <r>
    <s v="CS-1108"/>
    <d v="2026-09-21T00:00:00"/>
    <d v="2026-09-30T00:00:00"/>
    <s v="Closed"/>
    <s v="P2"/>
    <s v="Preventive maintenance"/>
    <s v="Fab C"/>
    <s v="Liu"/>
    <x v="2"/>
    <m/>
    <n v="5"/>
    <n v="9"/>
    <s v="No"/>
    <x v="3"/>
    <d v="2026-09-28T00:00:00"/>
  </r>
  <r>
    <s v="CS-1109"/>
    <d v="2026-09-21T00:00:00"/>
    <d v="2026-09-30T00:00:00"/>
    <s v="Closed"/>
    <s v="P3"/>
    <s v="Preventive maintenance"/>
    <s v="Fab B"/>
    <s v="Lin"/>
    <x v="0"/>
    <m/>
    <n v="10"/>
    <n v="9"/>
    <s v="Yes"/>
    <x v="3"/>
    <d v="2026-09-28T00:00:00"/>
  </r>
  <r>
    <s v="CS-1110"/>
    <d v="2026-09-21T00:00:00"/>
    <d v="2026-09-23T00:00:00"/>
    <s v="Closed"/>
    <s v="P1"/>
    <s v="Preventive maintenance"/>
    <s v="Fab C"/>
    <s v="Lin"/>
    <x v="0"/>
    <m/>
    <n v="2"/>
    <n v="2"/>
    <s v="Yes"/>
    <x v="3"/>
    <d v="2026-09-21T00:00:00"/>
  </r>
  <r>
    <s v="CS-1111"/>
    <d v="2026-09-21T00:00:00"/>
    <d v="2026-09-26T00:00:00"/>
    <s v="Closed"/>
    <s v="P2"/>
    <s v="Preventive maintenance"/>
    <s v="Fab B"/>
    <s v="Huang"/>
    <x v="0"/>
    <m/>
    <n v="5"/>
    <n v="5"/>
    <s v="Yes"/>
    <x v="3"/>
    <d v="2026-09-21T00:00:00"/>
  </r>
  <r>
    <s v="CS-1112"/>
    <d v="2026-09-22T00:00:00"/>
    <d v="2026-09-29T00:00:00"/>
    <s v="Closed"/>
    <s v="P2"/>
    <s v="Preventive maintenance"/>
    <s v="Fab C"/>
    <s v="Huang"/>
    <x v="2"/>
    <m/>
    <n v="5"/>
    <n v="7"/>
    <s v="No"/>
    <x v="3"/>
    <d v="2026-09-28T00:00:00"/>
  </r>
  <r>
    <s v="CS-1113"/>
    <d v="2026-09-22T00:00:00"/>
    <d v="2026-09-27T00:00:00"/>
    <s v="Closed"/>
    <s v="P2"/>
    <s v="Software / upgrade"/>
    <s v="Fab B"/>
    <s v="Wang"/>
    <x v="0"/>
    <m/>
    <n v="5"/>
    <n v="5"/>
    <s v="Yes"/>
    <x v="3"/>
    <d v="2026-09-21T00:00:00"/>
  </r>
  <r>
    <s v="CS-1114"/>
    <d v="2026-09-22T00:00:00"/>
    <d v="2026-09-24T00:00:00"/>
    <s v="Closed"/>
    <s v="P1"/>
    <s v="Unscheduled repair"/>
    <s v="Fab C"/>
    <s v="Huang"/>
    <x v="0"/>
    <m/>
    <n v="2"/>
    <n v="2"/>
    <s v="Yes"/>
    <x v="3"/>
    <d v="2026-09-21T00:00:00"/>
  </r>
  <r>
    <s v="CS-1115"/>
    <d v="2026-09-23T00:00:00"/>
    <d v="2026-09-24T00:00:00"/>
    <s v="Closed"/>
    <s v="P2"/>
    <s v="Customer inquiry"/>
    <s v="Fab A"/>
    <s v="Lin"/>
    <x v="0"/>
    <m/>
    <n v="5"/>
    <n v="1"/>
    <s v="Yes"/>
    <x v="3"/>
    <d v="2026-09-21T00:00:00"/>
  </r>
  <r>
    <s v="CS-1116"/>
    <d v="2026-09-23T00:00:00"/>
    <d v="2026-09-30T00:00:00"/>
    <s v="Closed"/>
    <s v="P2"/>
    <s v="Preventive maintenance"/>
    <s v="Fab A"/>
    <s v="Tsai"/>
    <x v="2"/>
    <m/>
    <n v="5"/>
    <n v="7"/>
    <s v="No"/>
    <x v="3"/>
    <d v="2026-09-28T00:00:00"/>
  </r>
  <r>
    <s v="CS-1117"/>
    <d v="2026-09-23T00:00:00"/>
    <d v="2026-09-25T00:00:00"/>
    <s v="Closed"/>
    <s v="P2"/>
    <s v="Unscheduled repair"/>
    <s v="Fab A"/>
    <s v="Chen"/>
    <x v="0"/>
    <m/>
    <n v="5"/>
    <n v="2"/>
    <s v="Yes"/>
    <x v="3"/>
    <d v="2026-09-21T00:00:00"/>
  </r>
  <r>
    <s v="CS-1118"/>
    <d v="2026-09-23T00:00:00"/>
    <d v="2026-09-30T00:00:00"/>
    <s v="Closed"/>
    <s v="P1"/>
    <s v="Unscheduled repair"/>
    <s v="Fab C"/>
    <s v="Chen"/>
    <x v="2"/>
    <m/>
    <n v="2"/>
    <n v="7"/>
    <s v="No"/>
    <x v="3"/>
    <d v="2026-09-28T00:00:00"/>
  </r>
  <r>
    <s v="CS-1119"/>
    <d v="2026-09-23T00:00:00"/>
    <d v="2026-09-26T00:00:00"/>
    <s v="Closed"/>
    <s v="P2"/>
    <s v="Unscheduled repair"/>
    <s v="Fab C"/>
    <s v="Tsai"/>
    <x v="0"/>
    <m/>
    <n v="5"/>
    <n v="3"/>
    <s v="Yes"/>
    <x v="3"/>
    <d v="2026-09-21T00:00:00"/>
  </r>
  <r>
    <s v="CS-1120"/>
    <d v="2026-09-23T00:00:00"/>
    <d v="2026-10-01T00:00:00"/>
    <s v="Closed"/>
    <s v="P3"/>
    <s v="Part replacement"/>
    <s v="Fab B"/>
    <s v="Tsai"/>
    <x v="0"/>
    <m/>
    <n v="10"/>
    <n v="8"/>
    <s v="Yes"/>
    <x v="3"/>
    <d v="2026-09-28T00:00:00"/>
  </r>
  <r>
    <s v="CS-1121"/>
    <d v="2026-09-23T00:00:00"/>
    <d v="2026-09-29T00:00:00"/>
    <s v="Closed"/>
    <s v="P2"/>
    <s v="Customer inquiry"/>
    <s v="Fab B"/>
    <s v="Liu"/>
    <x v="2"/>
    <m/>
    <n v="5"/>
    <n v="6"/>
    <s v="No"/>
    <x v="3"/>
    <d v="2026-09-28T00:00:00"/>
  </r>
  <r>
    <s v="CS-1122"/>
    <d v="2026-09-24T00:00:00"/>
    <d v="2026-09-27T00:00:00"/>
    <s v="Closed"/>
    <s v="P2"/>
    <s v="Part replacement"/>
    <s v="Fab B"/>
    <s v="Chen"/>
    <x v="0"/>
    <m/>
    <n v="5"/>
    <n v="3"/>
    <s v="Yes"/>
    <x v="3"/>
    <d v="2026-09-21T00:00:00"/>
  </r>
  <r>
    <s v="CS-1123"/>
    <d v="2026-09-24T00:00:00"/>
    <d v="2026-09-28T00:00:00"/>
    <s v="Closed"/>
    <s v="P2"/>
    <s v="Software / upgrade"/>
    <s v="Fab C"/>
    <s v="Liu"/>
    <x v="0"/>
    <m/>
    <n v="5"/>
    <n v="4"/>
    <s v="Yes"/>
    <x v="3"/>
    <d v="2026-09-28T00:00:00"/>
  </r>
  <r>
    <s v="CS-1124"/>
    <d v="2026-09-24T00:00:00"/>
    <d v="2026-10-02T00:00:00"/>
    <s v="Closed"/>
    <s v="P3"/>
    <s v="Unscheduled repair"/>
    <s v="Fab B"/>
    <s v="Liu"/>
    <x v="0"/>
    <m/>
    <n v="10"/>
    <n v="8"/>
    <s v="Yes"/>
    <x v="3"/>
    <d v="2026-09-28T00:00:00"/>
  </r>
  <r>
    <s v="CS-1125"/>
    <d v="2026-09-25T00:00:00"/>
    <d v="2026-09-26T00:00:00"/>
    <s v="Closed"/>
    <s v="P2"/>
    <s v="Part replacement"/>
    <s v="Fab C"/>
    <s v="Liu"/>
    <x v="0"/>
    <m/>
    <n v="5"/>
    <n v="1"/>
    <s v="Yes"/>
    <x v="3"/>
    <d v="2026-09-21T00:00:00"/>
  </r>
  <r>
    <s v="CS-1126"/>
    <d v="2026-09-25T00:00:00"/>
    <d v="2026-10-07T00:00:00"/>
    <s v="Closed"/>
    <s v="P3"/>
    <s v="Unscheduled repair"/>
    <s v="Fab B"/>
    <s v="Wang"/>
    <x v="1"/>
    <m/>
    <n v="10"/>
    <n v="12"/>
    <s v="No"/>
    <x v="3"/>
    <d v="2026-10-05T00:00:00"/>
  </r>
  <r>
    <s v="CS-1127"/>
    <d v="2026-09-25T00:00:00"/>
    <d v="2026-10-02T00:00:00"/>
    <s v="Closed"/>
    <s v="P3"/>
    <s v="Part replacement"/>
    <s v="Fab B"/>
    <s v="Wang"/>
    <x v="0"/>
    <m/>
    <n v="10"/>
    <n v="7"/>
    <s v="Yes"/>
    <x v="3"/>
    <d v="2026-09-28T00:00:00"/>
  </r>
  <r>
    <s v="CS-1128"/>
    <d v="2026-09-25T00:00:00"/>
    <d v="2026-10-02T00:00:00"/>
    <s v="Closed"/>
    <s v="P3"/>
    <s v="Customer inquiry"/>
    <s v="Fab B"/>
    <s v="Liu"/>
    <x v="0"/>
    <m/>
    <n v="10"/>
    <n v="7"/>
    <s v="Yes"/>
    <x v="3"/>
    <d v="2026-09-28T00:00:00"/>
  </r>
  <r>
    <s v="CS-1129"/>
    <d v="2026-09-26T00:00:00"/>
    <d v="2026-10-04T00:00:00"/>
    <s v="Closed"/>
    <s v="P3"/>
    <s v="Part replacement"/>
    <s v="Fab A"/>
    <s v="Liu"/>
    <x v="0"/>
    <m/>
    <n v="10"/>
    <n v="8"/>
    <s v="Yes"/>
    <x v="3"/>
    <d v="2026-09-28T00:00:00"/>
  </r>
  <r>
    <s v="CS-1130"/>
    <d v="2026-09-26T00:00:00"/>
    <d v="2026-09-27T00:00:00"/>
    <s v="Closed"/>
    <s v="P2"/>
    <s v="Part replacement"/>
    <s v="Fab B"/>
    <s v="Tsai"/>
    <x v="0"/>
    <m/>
    <n v="5"/>
    <n v="1"/>
    <s v="Yes"/>
    <x v="3"/>
    <d v="2026-09-21T00:00:00"/>
  </r>
  <r>
    <s v="CS-1131"/>
    <d v="2026-09-27T00:00:00"/>
    <d v="2026-09-29T00:00:00"/>
    <s v="Closed"/>
    <s v="P1"/>
    <s v="Unscheduled repair"/>
    <s v="Fab B"/>
    <s v="Tsai"/>
    <x v="0"/>
    <m/>
    <n v="2"/>
    <n v="2"/>
    <s v="Yes"/>
    <x v="3"/>
    <d v="2026-09-28T00:00:00"/>
  </r>
  <r>
    <s v="CS-1132"/>
    <d v="2026-09-27T00:00:00"/>
    <d v="2026-10-03T00:00:00"/>
    <s v="Closed"/>
    <s v="P1"/>
    <s v="Preventive maintenance"/>
    <s v="Fab B"/>
    <s v="Wang"/>
    <x v="2"/>
    <m/>
    <n v="2"/>
    <n v="6"/>
    <s v="No"/>
    <x v="3"/>
    <d v="2026-09-28T00:00:00"/>
  </r>
  <r>
    <s v="CS-1133"/>
    <d v="2026-09-27T00:00:00"/>
    <d v="2026-09-29T00:00:00"/>
    <s v="Closed"/>
    <s v="P1"/>
    <s v="Part replacement"/>
    <s v="Fab C"/>
    <s v="Huang"/>
    <x v="0"/>
    <m/>
    <n v="2"/>
    <n v="2"/>
    <s v="Yes"/>
    <x v="3"/>
    <d v="2026-09-28T00:00:00"/>
  </r>
  <r>
    <s v="CS-1134"/>
    <d v="2026-09-27T00:00:00"/>
    <d v="2026-10-03T00:00:00"/>
    <s v="Closed"/>
    <s v="P3"/>
    <s v="Software / upgrade"/>
    <s v="Fab B"/>
    <s v="Chen"/>
    <x v="0"/>
    <m/>
    <n v="10"/>
    <n v="6"/>
    <s v="Yes"/>
    <x v="3"/>
    <d v="2026-09-28T00:00:00"/>
  </r>
  <r>
    <s v="CS-1135"/>
    <d v="2026-09-27T00:00:00"/>
    <d v="2026-10-06T00:00:00"/>
    <s v="Closed"/>
    <s v="P3"/>
    <s v="Preventive maintenance"/>
    <s v="Fab B"/>
    <s v="Lin"/>
    <x v="0"/>
    <m/>
    <n v="10"/>
    <n v="9"/>
    <s v="Yes"/>
    <x v="3"/>
    <d v="2026-10-05T00:00:00"/>
  </r>
  <r>
    <s v="CS-1136"/>
    <d v="2026-09-27T00:00:00"/>
    <d v="2026-10-03T00:00:00"/>
    <s v="Closed"/>
    <s v="P3"/>
    <s v="Part replacement"/>
    <s v="Fab B"/>
    <s v="Lin"/>
    <x v="0"/>
    <m/>
    <n v="10"/>
    <n v="6"/>
    <s v="Yes"/>
    <x v="3"/>
    <d v="2026-09-28T00:00:00"/>
  </r>
  <r>
    <s v="CS-1137"/>
    <d v="2026-09-27T00:00:00"/>
    <d v="2026-10-07T00:00:00"/>
    <s v="Closed"/>
    <s v="P3"/>
    <s v="Unscheduled repair"/>
    <s v="Fab A"/>
    <s v="Huang"/>
    <x v="0"/>
    <m/>
    <n v="10"/>
    <n v="10"/>
    <s v="Yes"/>
    <x v="3"/>
    <d v="2026-10-05T00:00:00"/>
  </r>
  <r>
    <s v="CS-1138"/>
    <d v="2026-09-28T00:00:00"/>
    <d v="2026-10-10T00:00:00"/>
    <s v="Closed"/>
    <s v="P3"/>
    <s v="Software / upgrade"/>
    <s v="Fab B"/>
    <s v="Wang"/>
    <x v="1"/>
    <m/>
    <n v="10"/>
    <n v="12"/>
    <s v="No"/>
    <x v="4"/>
    <d v="2026-10-05T00:00:00"/>
  </r>
  <r>
    <s v="CS-1139"/>
    <d v="2026-09-28T00:00:00"/>
    <d v="2026-10-09T00:00:00"/>
    <s v="Closed"/>
    <s v="P3"/>
    <s v="Preventive maintenance"/>
    <s v="Fab C"/>
    <s v="Chen"/>
    <x v="4"/>
    <m/>
    <n v="10"/>
    <n v="11"/>
    <s v="No"/>
    <x v="4"/>
    <d v="2026-10-05T00:00:00"/>
  </r>
  <r>
    <s v="CS-1140"/>
    <d v="2026-09-28T00:00:00"/>
    <d v="2026-10-06T00:00:00"/>
    <s v="Closed"/>
    <s v="P3"/>
    <s v="Software / upgrade"/>
    <s v="Fab A"/>
    <s v="Liu"/>
    <x v="0"/>
    <m/>
    <n v="10"/>
    <n v="8"/>
    <s v="Yes"/>
    <x v="4"/>
    <d v="2026-10-05T00:00:00"/>
  </r>
  <r>
    <s v="CS-1141"/>
    <d v="2026-09-28T00:00:00"/>
    <d v="2026-10-02T00:00:00"/>
    <s v="Closed"/>
    <s v="P2"/>
    <s v="Preventive maintenance"/>
    <s v="Fab B"/>
    <s v="Unassigned"/>
    <x v="0"/>
    <m/>
    <n v="5"/>
    <n v="4"/>
    <s v="Yes"/>
    <x v="4"/>
    <d v="2026-09-28T00:00:00"/>
  </r>
  <r>
    <s v="CS-1142"/>
    <d v="2026-09-28T00:00:00"/>
    <d v="2026-09-29T00:00:00"/>
    <s v="Closed"/>
    <s v="P1"/>
    <s v="Unscheduled repair"/>
    <s v="Fab C"/>
    <s v="Wang"/>
    <x v="0"/>
    <m/>
    <n v="2"/>
    <n v="1"/>
    <s v="Yes"/>
    <x v="4"/>
    <d v="2026-09-28T00:00:00"/>
  </r>
  <r>
    <s v="CS-1143"/>
    <d v="2026-09-28T00:00:00"/>
    <d v="2026-10-06T00:00:00"/>
    <s v="Closed"/>
    <s v="P3"/>
    <s v="Unscheduled repair"/>
    <s v="Fab B"/>
    <s v="Liu"/>
    <x v="0"/>
    <m/>
    <n v="10"/>
    <n v="8"/>
    <s v="Yes"/>
    <x v="4"/>
    <d v="2026-10-05T00:00:00"/>
  </r>
  <r>
    <s v="CS-1144"/>
    <d v="2026-09-28T00:00:00"/>
    <d v="2026-09-29T00:00:00"/>
    <s v="Closed"/>
    <s v="P1"/>
    <s v="Preventive maintenance"/>
    <s v="Fab C"/>
    <s v="Wang"/>
    <x v="0"/>
    <m/>
    <n v="2"/>
    <n v="1"/>
    <s v="Yes"/>
    <x v="4"/>
    <d v="2026-09-28T00:00:00"/>
  </r>
  <r>
    <s v="CS-1145"/>
    <d v="2026-09-28T00:00:00"/>
    <d v="2026-10-02T00:00:00"/>
    <s v="Closed"/>
    <s v="P2"/>
    <s v="Unscheduled repair"/>
    <s v="Fab C"/>
    <s v="Huang"/>
    <x v="0"/>
    <m/>
    <n v="5"/>
    <n v="4"/>
    <s v="Yes"/>
    <x v="4"/>
    <d v="2026-09-28T00:00:00"/>
  </r>
  <r>
    <s v="CS-1146"/>
    <d v="2026-09-28T00:00:00"/>
    <d v="2026-10-02T00:00:00"/>
    <s v="Closed"/>
    <s v="P2"/>
    <s v="Unscheduled repair"/>
    <s v="Fab C"/>
    <s v="Tsai"/>
    <x v="0"/>
    <m/>
    <n v="5"/>
    <n v="4"/>
    <s v="Yes"/>
    <x v="4"/>
    <d v="2026-09-28T00:00:00"/>
  </r>
  <r>
    <s v="CS-1147"/>
    <d v="2026-09-29T00:00:00"/>
    <d v="2026-10-01T00:00:00"/>
    <s v="Closed"/>
    <s v="P1"/>
    <s v="Preventive maintenance"/>
    <s v="Fab C"/>
    <s v="Wang"/>
    <x v="0"/>
    <m/>
    <n v="2"/>
    <n v="2"/>
    <s v="Yes"/>
    <x v="4"/>
    <d v="2026-09-28T00:00:00"/>
  </r>
  <r>
    <s v="CS-1148"/>
    <d v="2026-09-29T00:00:00"/>
    <d v="2026-10-01T00:00:00"/>
    <s v="Closed"/>
    <s v="P2"/>
    <s v="Software / upgrade"/>
    <s v="Fab A"/>
    <s v="Wang"/>
    <x v="0"/>
    <m/>
    <n v="5"/>
    <n v="2"/>
    <s v="Yes"/>
    <x v="4"/>
    <d v="2026-09-28T00:00:00"/>
  </r>
  <r>
    <s v="CS-1149"/>
    <d v="2026-09-29T00:00:00"/>
    <d v="2026-10-06T00:00:00"/>
    <s v="Closed"/>
    <s v="P2"/>
    <s v="Unscheduled repair"/>
    <s v="Fab C"/>
    <s v="Tsai"/>
    <x v="2"/>
    <m/>
    <n v="5"/>
    <n v="7"/>
    <s v="No"/>
    <x v="4"/>
    <d v="2026-10-05T00:00:00"/>
  </r>
  <r>
    <s v="CS-1150"/>
    <d v="2026-09-29T00:00:00"/>
    <d v="2026-10-09T00:00:00"/>
    <s v="Closed"/>
    <s v="P3"/>
    <s v="Part replacement"/>
    <s v="Fab C"/>
    <s v="Huang"/>
    <x v="0"/>
    <m/>
    <n v="10"/>
    <n v="10"/>
    <s v="Yes"/>
    <x v="4"/>
    <d v="2026-10-05T00:00:00"/>
  </r>
  <r>
    <s v="CS-1151"/>
    <d v="2026-09-29T00:00:00"/>
    <d v="2026-09-29T00:00:00"/>
    <s v="Closed"/>
    <s v="P1"/>
    <s v="Unscheduled repair"/>
    <s v="Fab A"/>
    <s v="Huang"/>
    <x v="0"/>
    <m/>
    <n v="2"/>
    <n v="0"/>
    <s v="Yes"/>
    <x v="4"/>
    <d v="2026-09-28T00:00:00"/>
  </r>
  <r>
    <s v="CS-1152"/>
    <d v="2026-09-30T00:00:00"/>
    <d v="2026-10-01T00:00:00"/>
    <s v="Closed"/>
    <s v="P1"/>
    <s v="Part replacement"/>
    <s v="Fab A"/>
    <s v="Liu"/>
    <x v="0"/>
    <m/>
    <n v="2"/>
    <n v="1"/>
    <s v="Yes"/>
    <x v="4"/>
    <d v="2026-09-28T00:00:00"/>
  </r>
  <r>
    <s v="CS-1153"/>
    <d v="2026-09-30T00:00:00"/>
    <d v="2026-10-04T00:00:00"/>
    <s v="Closed"/>
    <s v="P2"/>
    <s v="Preventive maintenance"/>
    <s v="Fab C"/>
    <s v="Chen"/>
    <x v="0"/>
    <m/>
    <n v="5"/>
    <n v="4"/>
    <s v="Yes"/>
    <x v="4"/>
    <d v="2026-09-28T00:00:00"/>
  </r>
  <r>
    <s v="CS-1154"/>
    <d v="2026-09-30T00:00:00"/>
    <d v="2026-10-08T00:00:00"/>
    <s v="Closed"/>
    <s v="P2"/>
    <s v="Unscheduled repair"/>
    <s v="Fab A"/>
    <s v="Tsai"/>
    <x v="2"/>
    <m/>
    <n v="5"/>
    <n v="8"/>
    <s v="No"/>
    <x v="4"/>
    <d v="2026-10-05T00:00:00"/>
  </r>
  <r>
    <s v="CS-1155"/>
    <d v="2026-09-30T00:00:00"/>
    <d v="2026-10-12T00:00:00"/>
    <s v="Closed"/>
    <s v="P3"/>
    <s v="Software / upgrade"/>
    <s v="Fab C"/>
    <s v="Wang"/>
    <x v="3"/>
    <m/>
    <n v="10"/>
    <n v="12"/>
    <s v="No"/>
    <x v="4"/>
    <d v="2026-10-12T00:00:00"/>
  </r>
  <r>
    <s v="CS-1156"/>
    <d v="2026-10-01T00:00:00"/>
    <d v="2026-10-02T00:00:00"/>
    <s v="Closed"/>
    <s v="P1"/>
    <s v="Customer inquiry"/>
    <s v="Fab A"/>
    <s v="Lin"/>
    <x v="0"/>
    <m/>
    <n v="2"/>
    <n v="1"/>
    <s v="Yes"/>
    <x v="4"/>
    <d v="2026-09-28T00:00:00"/>
  </r>
  <r>
    <s v="CS-1157"/>
    <d v="2026-10-01T00:00:00"/>
    <d v="2026-10-03T00:00:00"/>
    <s v="Closed"/>
    <s v="P2"/>
    <s v="Customer inquiry"/>
    <s v="Fab B"/>
    <s v="Lin"/>
    <x v="0"/>
    <m/>
    <n v="5"/>
    <n v="2"/>
    <s v="Yes"/>
    <x v="4"/>
    <d v="2026-09-28T00:00:00"/>
  </r>
  <r>
    <s v="CS-1158"/>
    <d v="2026-10-01T00:00:00"/>
    <d v="2026-10-14T00:00:00"/>
    <s v="Closed"/>
    <s v="P3"/>
    <s v="Unscheduled repair"/>
    <s v="Fab C"/>
    <s v="Liu"/>
    <x v="2"/>
    <m/>
    <n v="10"/>
    <n v="13"/>
    <s v="No"/>
    <x v="4"/>
    <d v="2026-10-12T00:00:00"/>
  </r>
  <r>
    <s v="CS-1159"/>
    <d v="2026-10-01T00:00:00"/>
    <d v="2026-09-28T00:00:00"/>
    <s v="Closed"/>
    <s v="P1"/>
    <s v="Customer inquiry"/>
    <s v="Fab C"/>
    <s v="Chen"/>
    <x v="0"/>
    <s v="日期順序錯誤，待確認"/>
    <n v="2"/>
    <s v=""/>
    <s v=""/>
    <x v="4"/>
    <d v="2026-09-28T00:00:00"/>
  </r>
  <r>
    <s v="CS-1160"/>
    <d v="2026-10-01T00:00:00"/>
    <d v="2026-10-08T00:00:00"/>
    <s v="Closed"/>
    <s v="P3"/>
    <s v="Customer inquiry"/>
    <s v="Fab C"/>
    <s v="Wang"/>
    <x v="0"/>
    <m/>
    <n v="10"/>
    <n v="7"/>
    <s v="Yes"/>
    <x v="4"/>
    <d v="2026-10-05T00:00:00"/>
  </r>
  <r>
    <s v="CS-1161"/>
    <d v="2026-10-01T00:00:00"/>
    <d v="2026-10-16T00:00:00"/>
    <s v="Closed"/>
    <s v="P3"/>
    <s v="Preventive maintenance"/>
    <s v="Fab B"/>
    <s v="Lin"/>
    <x v="2"/>
    <m/>
    <n v="10"/>
    <n v="15"/>
    <s v="No"/>
    <x v="4"/>
    <d v="2026-10-12T00:00:00"/>
  </r>
  <r>
    <s v="CS-1162"/>
    <d v="2026-10-01T00:00:00"/>
    <d v="2026-10-02T00:00:00"/>
    <s v="Closed"/>
    <s v="P2"/>
    <s v="Software / upgrade"/>
    <s v="Fab C"/>
    <s v="Huang"/>
    <x v="0"/>
    <m/>
    <n v="5"/>
    <n v="1"/>
    <s v="Yes"/>
    <x v="4"/>
    <d v="2026-09-28T00:00:00"/>
  </r>
  <r>
    <s v="CS-1163"/>
    <d v="2026-10-02T00:00:00"/>
    <d v="2026-10-04T00:00:00"/>
    <s v="Closed"/>
    <s v="P2"/>
    <s v="Customer inquiry"/>
    <s v="Fab B"/>
    <s v="Unassigned"/>
    <x v="0"/>
    <m/>
    <n v="5"/>
    <n v="2"/>
    <s v="Yes"/>
    <x v="4"/>
    <d v="2026-09-28T00:00:00"/>
  </r>
  <r>
    <s v="CS-1164"/>
    <d v="2026-10-02T00:00:00"/>
    <d v="2026-10-03T00:00:00"/>
    <s v="Closed"/>
    <s v="P2"/>
    <s v="Customer inquiry"/>
    <s v="Fab C"/>
    <s v="Huang"/>
    <x v="0"/>
    <m/>
    <n v="5"/>
    <n v="1"/>
    <s v="Yes"/>
    <x v="4"/>
    <d v="2026-09-28T00:00:00"/>
  </r>
  <r>
    <s v="CS-1165"/>
    <d v="2026-10-02T00:00:00"/>
    <d v="2026-10-05T00:00:00"/>
    <s v="Closed"/>
    <s v="P2"/>
    <s v="Preventive maintenance"/>
    <s v="Fab C"/>
    <s v="Chen"/>
    <x v="0"/>
    <m/>
    <n v="5"/>
    <n v="3"/>
    <s v="Yes"/>
    <x v="4"/>
    <d v="2026-10-05T00:00:00"/>
  </r>
  <r>
    <s v="CS-1166"/>
    <d v="2026-10-02T00:00:00"/>
    <d v="2026-10-03T00:00:00"/>
    <s v="Closed"/>
    <s v="P2"/>
    <s v="Part replacement"/>
    <s v="Fab B"/>
    <s v="Tsai"/>
    <x v="0"/>
    <m/>
    <n v="5"/>
    <n v="1"/>
    <s v="Yes"/>
    <x v="4"/>
    <d v="2026-09-28T00:00:00"/>
  </r>
  <r>
    <s v="CS-1167"/>
    <d v="2026-10-02T00:00:00"/>
    <d v="2026-10-09T00:00:00"/>
    <s v="Closed"/>
    <s v="P2"/>
    <s v="Preventive maintenance"/>
    <s v="Fab A"/>
    <s v="Liu"/>
    <x v="2"/>
    <m/>
    <n v="5"/>
    <n v="7"/>
    <s v="No"/>
    <x v="4"/>
    <d v="2026-10-05T00:00:00"/>
  </r>
  <r>
    <s v="CS-1168"/>
    <d v="2026-10-03T00:00:00"/>
    <d v="2026-10-04T00:00:00"/>
    <s v="Closed"/>
    <s v="P2"/>
    <s v="Preventive maintenance"/>
    <s v="Fab C"/>
    <s v="Liu"/>
    <x v="0"/>
    <m/>
    <n v="5"/>
    <n v="1"/>
    <s v="Yes"/>
    <x v="4"/>
    <d v="2026-09-28T00:00:00"/>
  </r>
  <r>
    <s v="CS-1169"/>
    <d v="2026-10-03T00:00:00"/>
    <d v="2026-10-13T00:00:00"/>
    <s v="Closed"/>
    <s v="P2"/>
    <s v="Unscheduled repair"/>
    <s v="Fab B"/>
    <s v="Lin"/>
    <x v="2"/>
    <m/>
    <n v="5"/>
    <n v="10"/>
    <s v="No"/>
    <x v="4"/>
    <d v="2026-10-12T00:00:00"/>
  </r>
  <r>
    <s v="CS-1170"/>
    <d v="2026-10-03T00:00:00"/>
    <d v="2026-10-05T00:00:00"/>
    <s v="Closed"/>
    <s v="P1"/>
    <s v="Unscheduled repair"/>
    <s v="Fab A"/>
    <s v="Wang"/>
    <x v="0"/>
    <m/>
    <n v="2"/>
    <n v="2"/>
    <s v="Yes"/>
    <x v="4"/>
    <d v="2026-10-05T00:00:00"/>
  </r>
  <r>
    <s v="CS-1171"/>
    <d v="2026-10-03T00:00:00"/>
    <d v="2026-10-13T00:00:00"/>
    <s v="Closed"/>
    <s v="P3"/>
    <s v="Software / upgrade"/>
    <s v="Fab B"/>
    <s v="Chen"/>
    <x v="0"/>
    <m/>
    <n v="10"/>
    <n v="10"/>
    <s v="Yes"/>
    <x v="4"/>
    <d v="2026-10-12T00:00:00"/>
  </r>
  <r>
    <s v="CS-1172"/>
    <d v="2026-10-04T00:00:00"/>
    <d v="2026-10-14T00:00:00"/>
    <s v="Closed"/>
    <s v="P3"/>
    <s v="Unscheduled repair"/>
    <s v="Fab A"/>
    <s v="Liu"/>
    <x v="0"/>
    <m/>
    <n v="10"/>
    <n v="10"/>
    <s v="Yes"/>
    <x v="4"/>
    <d v="2026-10-12T00:00:00"/>
  </r>
  <r>
    <s v="CS-1173"/>
    <d v="2026-10-04T00:00:00"/>
    <d v="2026-10-13T00:00:00"/>
    <s v="Closed"/>
    <s v="P3"/>
    <s v="Part replacement"/>
    <s v="Fab C"/>
    <s v="Liu"/>
    <x v="0"/>
    <m/>
    <n v="10"/>
    <n v="9"/>
    <s v="Yes"/>
    <x v="4"/>
    <d v="2026-10-12T00:00:00"/>
  </r>
  <r>
    <s v="CS-1174"/>
    <d v="2026-10-04T00:00:00"/>
    <d v="2026-10-05T00:00:00"/>
    <s v="Closed"/>
    <s v="P1"/>
    <s v="Preventive maintenance"/>
    <s v="Fab A"/>
    <s v="Lin"/>
    <x v="0"/>
    <m/>
    <n v="2"/>
    <n v="1"/>
    <s v="Yes"/>
    <x v="4"/>
    <d v="2026-10-05T00:00:00"/>
  </r>
  <r>
    <s v="CS-1175"/>
    <d v="2026-10-04T00:00:00"/>
    <d v="2026-10-12T00:00:00"/>
    <s v="Closed"/>
    <s v="P3"/>
    <s v="Customer inquiry"/>
    <s v="Fab B"/>
    <s v="Huang"/>
    <x v="0"/>
    <m/>
    <n v="10"/>
    <n v="8"/>
    <s v="Yes"/>
    <x v="4"/>
    <d v="2026-10-12T00:00:00"/>
  </r>
  <r>
    <s v="CS-1176"/>
    <d v="2026-10-04T00:00:00"/>
    <d v="2026-10-07T00:00:00"/>
    <s v="Closed"/>
    <s v="P2"/>
    <s v="Preventive maintenance"/>
    <s v="Fab A"/>
    <s v="Huang"/>
    <x v="0"/>
    <m/>
    <n v="5"/>
    <n v="3"/>
    <s v="Yes"/>
    <x v="4"/>
    <d v="2026-10-05T00:00:00"/>
  </r>
  <r>
    <s v="CS-1177"/>
    <d v="2026-10-04T00:00:00"/>
    <d v="2026-10-06T00:00:00"/>
    <s v="Closed"/>
    <s v="P2"/>
    <s v="Unscheduled repair"/>
    <s v="Fab A"/>
    <s v="Lin"/>
    <x v="0"/>
    <m/>
    <n v="5"/>
    <n v="2"/>
    <s v="Yes"/>
    <x v="4"/>
    <d v="2026-10-05T00:00:00"/>
  </r>
  <r>
    <s v="CS-1178"/>
    <d v="2026-10-04T00:00:00"/>
    <d v="2026-10-07T00:00:00"/>
    <s v="Closed"/>
    <s v="P2"/>
    <s v="Software / upgrade"/>
    <s v="Fab C"/>
    <s v="Huang"/>
    <x v="0"/>
    <m/>
    <n v="5"/>
    <n v="3"/>
    <s v="Yes"/>
    <x v="4"/>
    <d v="2026-10-05T00:00:00"/>
  </r>
  <r>
    <s v="CS-1179"/>
    <d v="2026-10-05T00:00:00"/>
    <d v="2026-10-16T00:00:00"/>
    <s v="Closed"/>
    <s v="P2"/>
    <s v="Unscheduled repair"/>
    <s v="Fab A"/>
    <s v="Unassigned"/>
    <x v="2"/>
    <m/>
    <n v="5"/>
    <n v="11"/>
    <s v="No"/>
    <x v="5"/>
    <d v="2026-10-12T00:00:00"/>
  </r>
  <r>
    <s v="CS-1180"/>
    <d v="2026-10-05T00:00:00"/>
    <d v="2026-10-10T00:00:00"/>
    <s v="Closed"/>
    <s v="P1"/>
    <s v="Unscheduled repair"/>
    <s v="Fab C"/>
    <s v="Wang"/>
    <x v="2"/>
    <m/>
    <n v="2"/>
    <n v="5"/>
    <s v="No"/>
    <x v="5"/>
    <d v="2026-10-05T00:00:00"/>
  </r>
  <r>
    <s v="CS-1181"/>
    <d v="2026-10-05T00:00:00"/>
    <d v="2026-10-08T00:00:00"/>
    <s v="Closed"/>
    <s v="P2"/>
    <s v="Preventive maintenance"/>
    <s v="Fab B"/>
    <s v="Liu"/>
    <x v="0"/>
    <m/>
    <n v="5"/>
    <n v="3"/>
    <s v="Yes"/>
    <x v="5"/>
    <d v="2026-10-05T00:00:00"/>
  </r>
  <r>
    <s v="CS-1182"/>
    <d v="2026-10-05T00:00:00"/>
    <d v="2026-10-07T00:00:00"/>
    <s v="Closed"/>
    <s v="P1"/>
    <s v="Unscheduled repair"/>
    <s v="Fab B"/>
    <s v="Wang"/>
    <x v="0"/>
    <m/>
    <n v="2"/>
    <n v="2"/>
    <s v="Yes"/>
    <x v="5"/>
    <d v="2026-10-05T00:00:00"/>
  </r>
  <r>
    <s v="CS-1183"/>
    <d v="2026-10-06T00:00:00"/>
    <d v="2026-10-09T00:00:00"/>
    <s v="Closed"/>
    <s v="P2"/>
    <s v="Customer inquiry"/>
    <s v="Fab C"/>
    <s v="Huang"/>
    <x v="0"/>
    <m/>
    <n v="5"/>
    <n v="3"/>
    <s v="Yes"/>
    <x v="5"/>
    <d v="2026-10-05T00:00:00"/>
  </r>
  <r>
    <s v="CS-1184"/>
    <d v="2026-10-07T00:00:00"/>
    <d v="2026-10-16T00:00:00"/>
    <s v="Closed"/>
    <s v="P3"/>
    <s v="Customer inquiry"/>
    <s v="Fab A"/>
    <s v="Tsai"/>
    <x v="0"/>
    <m/>
    <n v="10"/>
    <n v="9"/>
    <s v="Yes"/>
    <x v="5"/>
    <d v="2026-10-12T00:00:00"/>
  </r>
  <r>
    <s v="CS-1185"/>
    <d v="2026-10-08T00:00:00"/>
    <d v="2026-10-14T00:00:00"/>
    <s v="Closed"/>
    <s v="P3"/>
    <s v="Part replacement"/>
    <s v="Fab C"/>
    <s v="Liu"/>
    <x v="0"/>
    <m/>
    <n v="10"/>
    <n v="6"/>
    <s v="Yes"/>
    <x v="5"/>
    <d v="2026-10-12T00:00:00"/>
  </r>
  <r>
    <s v="CS-1186"/>
    <d v="2026-10-08T00:00:00"/>
    <d v="2026-10-18T00:00:00"/>
    <s v="Closed"/>
    <s v="P2"/>
    <s v="Preventive maintenance"/>
    <s v="Fab C"/>
    <s v="Wang"/>
    <x v="4"/>
    <m/>
    <n v="5"/>
    <n v="10"/>
    <s v="No"/>
    <x v="5"/>
    <d v="2026-10-12T00:00:00"/>
  </r>
  <r>
    <s v="CS-1187"/>
    <d v="2026-10-08T00:00:00"/>
    <d v="2026-10-15T00:00:00"/>
    <s v="Closed"/>
    <s v="P3"/>
    <s v="Preventive maintenance"/>
    <s v="Fab C"/>
    <s v="Huang"/>
    <x v="0"/>
    <m/>
    <n v="10"/>
    <n v="7"/>
    <s v="Yes"/>
    <x v="5"/>
    <d v="2026-10-12T00:00:00"/>
  </r>
  <r>
    <s v="CS-1188"/>
    <d v="2026-10-08T00:00:00"/>
    <d v="2026-10-17T00:00:00"/>
    <s v="Closed"/>
    <s v="P3"/>
    <s v="Unscheduled repair"/>
    <s v="Fab B"/>
    <s v="Wang"/>
    <x v="0"/>
    <m/>
    <n v="10"/>
    <n v="9"/>
    <s v="Yes"/>
    <x v="5"/>
    <d v="2026-10-12T00:00:00"/>
  </r>
  <r>
    <s v="CS-1189"/>
    <d v="2026-10-08T00:00:00"/>
    <d v="2026-10-11T00:00:00"/>
    <s v="Closed"/>
    <s v="P2"/>
    <s v="Customer inquiry"/>
    <s v="Fab B"/>
    <s v="Wang"/>
    <x v="0"/>
    <m/>
    <n v="5"/>
    <n v="3"/>
    <s v="Yes"/>
    <x v="5"/>
    <d v="2026-10-05T00:00:00"/>
  </r>
  <r>
    <s v="CS-1190"/>
    <d v="2026-10-08T00:00:00"/>
    <d v="2026-10-13T00:00:00"/>
    <s v="Closed"/>
    <s v="P2"/>
    <s v="Unscheduled repair"/>
    <s v="Fab A"/>
    <s v="Liu"/>
    <x v="0"/>
    <m/>
    <n v="5"/>
    <n v="5"/>
    <s v="Yes"/>
    <x v="5"/>
    <d v="2026-10-12T00:00:00"/>
  </r>
  <r>
    <s v="CS-1191"/>
    <d v="2026-10-08T00:00:00"/>
    <d v="2026-10-10T00:00:00"/>
    <s v="Closed"/>
    <s v="P2"/>
    <s v="Part replacement"/>
    <s v="Fab B"/>
    <s v="Huang"/>
    <x v="0"/>
    <m/>
    <n v="5"/>
    <n v="2"/>
    <s v="Yes"/>
    <x v="5"/>
    <d v="2026-10-05T00:00:00"/>
  </r>
  <r>
    <s v="CS-1192"/>
    <d v="2026-10-08T00:00:00"/>
    <d v="2026-10-09T00:00:00"/>
    <s v="Closed"/>
    <s v="P1"/>
    <s v="Preventive maintenance"/>
    <s v="Fab A"/>
    <s v="Tsai"/>
    <x v="0"/>
    <m/>
    <n v="2"/>
    <n v="1"/>
    <s v="Yes"/>
    <x v="5"/>
    <d v="2026-10-05T00:00:00"/>
  </r>
  <r>
    <s v="CS-1193"/>
    <d v="2026-10-08T00:00:00"/>
    <d v="2026-10-09T00:00:00"/>
    <s v="Closed"/>
    <s v="P1"/>
    <s v="Customer inquiry"/>
    <s v="Fab B"/>
    <s v="Chen"/>
    <x v="0"/>
    <m/>
    <n v="2"/>
    <n v="1"/>
    <s v="Yes"/>
    <x v="5"/>
    <d v="2026-10-05T00:00:00"/>
  </r>
  <r>
    <s v="CS-1194"/>
    <d v="2026-10-09T00:00:00"/>
    <d v="2026-10-12T00:00:00"/>
    <s v="Closed"/>
    <s v="P2"/>
    <s v="Software / upgrade"/>
    <s v="Fab A"/>
    <s v="Chen"/>
    <x v="0"/>
    <m/>
    <n v="5"/>
    <n v="3"/>
    <s v="Yes"/>
    <x v="5"/>
    <d v="2026-10-12T00:00:00"/>
  </r>
  <r>
    <s v="CS-1195"/>
    <d v="2026-10-09T00:00:00"/>
    <d v="2026-10-10T00:00:00"/>
    <s v="Closed"/>
    <s v="P2"/>
    <s v="Customer inquiry"/>
    <s v="Fab A"/>
    <s v="Liu"/>
    <x v="0"/>
    <m/>
    <n v="5"/>
    <n v="1"/>
    <s v="Yes"/>
    <x v="5"/>
    <d v="2026-10-05T00:00:00"/>
  </r>
  <r>
    <s v="CS-1196"/>
    <d v="2026-10-09T00:00:00"/>
    <d v="2026-10-11T00:00:00"/>
    <s v="Closed"/>
    <s v="P1"/>
    <s v="Unscheduled repair"/>
    <s v="Fab A"/>
    <s v="Huang"/>
    <x v="0"/>
    <m/>
    <n v="2"/>
    <n v="2"/>
    <s v="Yes"/>
    <x v="5"/>
    <d v="2026-10-05T00:00:00"/>
  </r>
  <r>
    <s v="CS-1197"/>
    <d v="2026-10-09T00:00:00"/>
    <d v="2026-10-09T00:00:00"/>
    <s v="Closed"/>
    <s v="P1"/>
    <s v="Part replacement"/>
    <s v="Fab C"/>
    <s v="Lin"/>
    <x v="0"/>
    <m/>
    <n v="2"/>
    <n v="0"/>
    <s v="Yes"/>
    <x v="5"/>
    <d v="2026-10-05T00:00:00"/>
  </r>
  <r>
    <s v="CS-1198"/>
    <d v="2026-10-09T00:00:00"/>
    <d v="2026-10-11T00:00:00"/>
    <s v="Closed"/>
    <s v="P1"/>
    <s v="Software / upgrade"/>
    <s v="Fab B"/>
    <s v="Huang"/>
    <x v="0"/>
    <m/>
    <n v="2"/>
    <n v="2"/>
    <s v="Yes"/>
    <x v="5"/>
    <d v="2026-10-05T00:00:00"/>
  </r>
  <r>
    <s v="CS-1199"/>
    <d v="2026-10-10T00:00:00"/>
    <d v="2026-10-10T00:00:00"/>
    <s v="Closed"/>
    <s v="P1"/>
    <s v="Software / upgrade"/>
    <s v="Fab C"/>
    <s v="Lin"/>
    <x v="0"/>
    <m/>
    <n v="2"/>
    <n v="0"/>
    <s v="Yes"/>
    <x v="5"/>
    <d v="2026-10-05T00:00:00"/>
  </r>
  <r>
    <s v="CS-1200"/>
    <d v="2026-10-10T00:00:00"/>
    <d v="2026-10-19T00:00:00"/>
    <s v="Closed"/>
    <s v="P3"/>
    <s v="Part replacement"/>
    <s v="Fab A"/>
    <s v="Chen"/>
    <x v="0"/>
    <m/>
    <n v="10"/>
    <n v="9"/>
    <s v="Yes"/>
    <x v="5"/>
    <d v="2026-10-19T00:00:00"/>
  </r>
  <r>
    <s v="CS-1201"/>
    <d v="2026-10-10T00:00:00"/>
    <d v="2026-10-20T00:00:00"/>
    <s v="Closed"/>
    <s v="P3"/>
    <s v="Preventive maintenance"/>
    <s v="Fab B"/>
    <s v="Liu"/>
    <x v="0"/>
    <m/>
    <n v="10"/>
    <n v="10"/>
    <s v="Yes"/>
    <x v="5"/>
    <d v="2026-10-19T00:00:00"/>
  </r>
  <r>
    <s v="CS-1202"/>
    <d v="2026-10-10T00:00:00"/>
    <d v="2026-10-19T00:00:00"/>
    <s v="Closed"/>
    <s v="P3"/>
    <s v="Unscheduled repair"/>
    <s v="Fab B"/>
    <s v="Huang"/>
    <x v="0"/>
    <m/>
    <n v="10"/>
    <n v="9"/>
    <s v="Yes"/>
    <x v="5"/>
    <d v="2026-10-19T00:00:00"/>
  </r>
  <r>
    <s v="CS-1203"/>
    <d v="2026-10-10T00:00:00"/>
    <d v="2026-10-11T00:00:00"/>
    <s v="Closed"/>
    <s v="P1"/>
    <s v="Preventive maintenance"/>
    <s v="Fab B"/>
    <s v="Liu"/>
    <x v="0"/>
    <m/>
    <n v="2"/>
    <n v="1"/>
    <s v="Yes"/>
    <x v="5"/>
    <d v="2026-10-05T00:00:00"/>
  </r>
  <r>
    <s v="CS-1204"/>
    <d v="2026-10-10T00:00:00"/>
    <m/>
    <s v="Open"/>
    <s v="P3"/>
    <s v="Customer inquiry"/>
    <s v="Fab C"/>
    <s v="Liu"/>
    <x v="2"/>
    <m/>
    <n v="10"/>
    <s v=""/>
    <s v=""/>
    <x v="5"/>
    <s v=""/>
  </r>
  <r>
    <s v="CS-1205"/>
    <d v="2026-10-10T00:00:00"/>
    <d v="2026-10-25T00:00:00"/>
    <s v="Closed"/>
    <s v="P3"/>
    <s v="Software / upgrade"/>
    <s v="Fab A"/>
    <s v="Lin"/>
    <x v="4"/>
    <m/>
    <n v="10"/>
    <n v="15"/>
    <s v="No"/>
    <x v="5"/>
    <d v="2026-10-19T00:00:00"/>
  </r>
  <r>
    <s v="CS-1206"/>
    <d v="2026-10-10T00:00:00"/>
    <d v="2026-10-12T00:00:00"/>
    <s v="Closed"/>
    <s v="P2"/>
    <s v="Part replacement"/>
    <s v="Fab C"/>
    <s v="Tsai"/>
    <x v="0"/>
    <m/>
    <n v="5"/>
    <n v="2"/>
    <s v="Yes"/>
    <x v="5"/>
    <d v="2026-10-12T00:00:00"/>
  </r>
  <r>
    <s v="CS-1207"/>
    <d v="2026-10-10T00:00:00"/>
    <d v="2026-10-12T00:00:00"/>
    <s v="Closed"/>
    <s v="P1"/>
    <s v="Preventive maintenance"/>
    <s v="Fab C"/>
    <s v="Chen"/>
    <x v="0"/>
    <m/>
    <n v="2"/>
    <n v="2"/>
    <s v="Yes"/>
    <x v="5"/>
    <d v="2026-10-12T00:00:00"/>
  </r>
  <r>
    <s v="CS-1208"/>
    <d v="2026-10-11T00:00:00"/>
    <d v="2026-10-13T00:00:00"/>
    <s v="Closed"/>
    <s v="P2"/>
    <s v="Customer inquiry"/>
    <s v="Fab B"/>
    <s v="Chen"/>
    <x v="0"/>
    <m/>
    <n v="5"/>
    <n v="2"/>
    <s v="Yes"/>
    <x v="5"/>
    <d v="2026-10-12T00:00:00"/>
  </r>
  <r>
    <s v="CS-1209"/>
    <d v="2026-10-11T00:00:00"/>
    <d v="2026-10-18T00:00:00"/>
    <s v="Closed"/>
    <s v="P3"/>
    <s v="Software / upgrade"/>
    <s v="Fab A"/>
    <s v="Huang"/>
    <x v="0"/>
    <m/>
    <n v="10"/>
    <n v="7"/>
    <s v="Yes"/>
    <x v="5"/>
    <d v="2026-10-12T00:00:00"/>
  </r>
  <r>
    <s v="CS-1210"/>
    <d v="2026-10-11T00:00:00"/>
    <d v="2026-10-17T00:00:00"/>
    <s v="Closed"/>
    <s v="P3"/>
    <s v="Customer inquiry"/>
    <s v="Fab B"/>
    <s v="Chen"/>
    <x v="0"/>
    <m/>
    <n v="10"/>
    <n v="6"/>
    <s v="Yes"/>
    <x v="5"/>
    <d v="2026-10-12T00:00:00"/>
  </r>
  <r>
    <s v="CS-1211"/>
    <d v="2026-10-11T00:00:00"/>
    <d v="2026-10-12T00:00:00"/>
    <s v="Closed"/>
    <s v="P1"/>
    <s v="Software / upgrade"/>
    <s v="Fab C"/>
    <s v="Huang"/>
    <x v="0"/>
    <m/>
    <n v="2"/>
    <n v="1"/>
    <s v="Yes"/>
    <x v="5"/>
    <d v="2026-10-12T00:00:00"/>
  </r>
  <r>
    <s v="CS-1212"/>
    <d v="2026-10-11T00:00:00"/>
    <d v="2026-10-24T00:00:00"/>
    <s v="Closed"/>
    <s v="P3"/>
    <s v="Customer inquiry"/>
    <s v="Fab A"/>
    <s v="Tsai"/>
    <x v="2"/>
    <m/>
    <n v="10"/>
    <n v="13"/>
    <s v="No"/>
    <x v="5"/>
    <d v="2026-10-19T00:00:00"/>
  </r>
  <r>
    <s v="CS-1213"/>
    <d v="2026-10-11T00:00:00"/>
    <d v="2026-10-20T00:00:00"/>
    <s v="Closed"/>
    <s v="P3"/>
    <s v="Unscheduled repair"/>
    <s v="Fab B"/>
    <s v="Liu"/>
    <x v="0"/>
    <m/>
    <n v="10"/>
    <n v="9"/>
    <s v="Yes"/>
    <x v="5"/>
    <d v="2026-10-19T00:00:00"/>
  </r>
  <r>
    <s v="CS-1214"/>
    <d v="2026-10-11T00:00:00"/>
    <d v="2026-10-12T00:00:00"/>
    <s v="Closed"/>
    <s v="P2"/>
    <s v="Part replacement"/>
    <s v="Fab B"/>
    <s v="Lin"/>
    <x v="0"/>
    <m/>
    <n v="5"/>
    <n v="1"/>
    <s v="Yes"/>
    <x v="5"/>
    <d v="2026-10-12T00:00:00"/>
  </r>
  <r>
    <s v="CS-1215"/>
    <d v="2026-10-11T00:00:00"/>
    <d v="2026-10-16T00:00:00"/>
    <s v="Closed"/>
    <s v="P2"/>
    <s v="Preventive maintenance"/>
    <s v="Fab A"/>
    <s v="Wang"/>
    <x v="0"/>
    <m/>
    <n v="5"/>
    <n v="5"/>
    <s v="Yes"/>
    <x v="5"/>
    <d v="2026-10-12T00:00:00"/>
  </r>
  <r>
    <s v="CS-1216"/>
    <d v="2026-10-11T00:00:00"/>
    <d v="2026-10-20T00:00:00"/>
    <s v="Closed"/>
    <s v="P2"/>
    <s v="Unscheduled repair"/>
    <s v="Fab A"/>
    <s v="Liu"/>
    <x v="1"/>
    <m/>
    <n v="5"/>
    <n v="9"/>
    <s v="No"/>
    <x v="5"/>
    <d v="2026-10-19T00:00:00"/>
  </r>
  <r>
    <s v="CS-1217"/>
    <d v="2026-10-12T00:00:00"/>
    <d v="2026-10-17T00:00:00"/>
    <s v="Closed"/>
    <s v="P2"/>
    <s v="Customer inquiry"/>
    <s v="Fab C"/>
    <s v="Chen"/>
    <x v="0"/>
    <m/>
    <n v="5"/>
    <n v="5"/>
    <s v="Yes"/>
    <x v="6"/>
    <d v="2026-10-12T00:00:00"/>
  </r>
  <r>
    <s v="CS-1218"/>
    <d v="2026-10-12T00:00:00"/>
    <d v="2026-10-15T00:00:00"/>
    <s v="Closed"/>
    <s v="P2"/>
    <s v="Unscheduled repair"/>
    <s v="Fab B"/>
    <s v="Tsai"/>
    <x v="0"/>
    <m/>
    <n v="5"/>
    <n v="3"/>
    <s v="Yes"/>
    <x v="6"/>
    <d v="2026-10-12T00:00:00"/>
  </r>
  <r>
    <s v="CS-1219"/>
    <d v="2026-10-12T00:00:00"/>
    <d v="2026-10-14T00:00:00"/>
    <s v="Closed"/>
    <s v="P2"/>
    <s v="Preventive maintenance"/>
    <s v="Fab A"/>
    <s v="Wang"/>
    <x v="0"/>
    <m/>
    <n v="5"/>
    <n v="2"/>
    <s v="Yes"/>
    <x v="6"/>
    <d v="2026-10-12T00:00:00"/>
  </r>
  <r>
    <s v="CS-1220"/>
    <d v="2026-10-12T00:00:00"/>
    <d v="2026-10-14T00:00:00"/>
    <s v="Closed"/>
    <s v="P2"/>
    <s v="Preventive maintenance"/>
    <s v="Fab C"/>
    <s v="Huang"/>
    <x v="0"/>
    <m/>
    <n v="5"/>
    <n v="2"/>
    <s v="Yes"/>
    <x v="6"/>
    <d v="2026-10-12T00:00:00"/>
  </r>
  <r>
    <s v="CS-1221"/>
    <d v="2026-10-12T00:00:00"/>
    <d v="2026-10-16T00:00:00"/>
    <s v="Closed"/>
    <s v="P2"/>
    <s v="Preventive maintenance"/>
    <s v="Fab C"/>
    <s v="Wang"/>
    <x v="0"/>
    <m/>
    <n v="5"/>
    <n v="4"/>
    <s v="Yes"/>
    <x v="6"/>
    <d v="2026-10-12T00:00:00"/>
  </r>
  <r>
    <s v="CS-1222"/>
    <d v="2026-10-13T00:00:00"/>
    <d v="2026-10-10T00:00:00"/>
    <s v="Closed"/>
    <s v="P3"/>
    <s v="Part replacement"/>
    <s v="Fab A"/>
    <s v="Lin"/>
    <x v="0"/>
    <s v="日期順序錯誤，待確認"/>
    <n v="10"/>
    <s v=""/>
    <s v=""/>
    <x v="6"/>
    <d v="2026-10-05T00:00:00"/>
  </r>
  <r>
    <s v="CS-1223"/>
    <d v="2026-10-13T00:00:00"/>
    <d v="2026-10-17T00:00:00"/>
    <s v="Closed"/>
    <s v="P2"/>
    <s v="Unscheduled repair"/>
    <s v="Fab C"/>
    <s v="Liu"/>
    <x v="0"/>
    <m/>
    <n v="5"/>
    <n v="4"/>
    <s v="Yes"/>
    <x v="6"/>
    <d v="2026-10-12T00:00:00"/>
  </r>
  <r>
    <s v="CS-1224"/>
    <d v="2026-10-13T00:00:00"/>
    <d v="2026-10-18T00:00:00"/>
    <s v="Closed"/>
    <s v="P2"/>
    <s v="Unscheduled repair"/>
    <s v="Fab B"/>
    <s v="Liu"/>
    <x v="0"/>
    <m/>
    <n v="5"/>
    <n v="5"/>
    <s v="Yes"/>
    <x v="6"/>
    <d v="2026-10-12T00:00:00"/>
  </r>
  <r>
    <s v="CS-1225"/>
    <d v="2026-10-13T00:00:00"/>
    <d v="2026-10-14T00:00:00"/>
    <s v="Closed"/>
    <s v="P2"/>
    <s v="Customer inquiry"/>
    <s v="Fab B"/>
    <s v="Wang"/>
    <x v="0"/>
    <m/>
    <n v="5"/>
    <n v="1"/>
    <s v="Yes"/>
    <x v="6"/>
    <d v="2026-10-12T00:00:00"/>
  </r>
  <r>
    <s v="CS-1226"/>
    <d v="2026-10-13T00:00:00"/>
    <d v="2026-10-15T00:00:00"/>
    <s v="Closed"/>
    <s v="P1"/>
    <s v="Unscheduled repair"/>
    <s v="Fab B"/>
    <s v="Lin"/>
    <x v="0"/>
    <m/>
    <n v="2"/>
    <n v="2"/>
    <s v="Yes"/>
    <x v="6"/>
    <d v="2026-10-12T00:00:00"/>
  </r>
  <r>
    <s v="CS-1227"/>
    <d v="2026-10-14T00:00:00"/>
    <d v="2026-10-15T00:00:00"/>
    <s v="Closed"/>
    <s v="P2"/>
    <s v="Preventive maintenance"/>
    <s v="Fab A"/>
    <s v="Wang"/>
    <x v="0"/>
    <m/>
    <n v="5"/>
    <n v="1"/>
    <s v="Yes"/>
    <x v="6"/>
    <d v="2026-10-12T00:00:00"/>
  </r>
  <r>
    <s v="CS-1228"/>
    <d v="2026-10-14T00:00:00"/>
    <d v="2026-10-20T00:00:00"/>
    <s v="Closed"/>
    <s v="P3"/>
    <s v="Part replacement"/>
    <s v="Fab A"/>
    <s v="Tsai"/>
    <x v="0"/>
    <m/>
    <n v="10"/>
    <n v="6"/>
    <s v="Yes"/>
    <x v="6"/>
    <d v="2026-10-19T00:00:00"/>
  </r>
  <r>
    <s v="CS-1229"/>
    <d v="2026-10-14T00:00:00"/>
    <d v="2026-10-15T00:00:00"/>
    <s v="Closed"/>
    <s v="P2"/>
    <s v="Unscheduled repair"/>
    <s v="Fab B"/>
    <s v="Wang"/>
    <x v="0"/>
    <m/>
    <n v="5"/>
    <n v="1"/>
    <s v="Yes"/>
    <x v="6"/>
    <d v="2026-10-12T00:00:00"/>
  </r>
  <r>
    <s v="CS-1230"/>
    <d v="2026-10-14T00:00:00"/>
    <d v="2026-10-24T00:00:00"/>
    <s v="Closed"/>
    <s v="P3"/>
    <s v="Software / upgrade"/>
    <s v="Fab A"/>
    <s v="Liu"/>
    <x v="0"/>
    <m/>
    <n v="10"/>
    <n v="10"/>
    <s v="Yes"/>
    <x v="6"/>
    <d v="2026-10-19T00:00:00"/>
  </r>
  <r>
    <s v="CS-1231"/>
    <d v="2026-10-14T00:00:00"/>
    <d v="2026-10-25T00:00:00"/>
    <s v="Closed"/>
    <s v="P2"/>
    <s v="Unscheduled repair"/>
    <s v="Fab B"/>
    <s v="Lin"/>
    <x v="1"/>
    <m/>
    <n v="5"/>
    <n v="11"/>
    <s v="No"/>
    <x v="6"/>
    <d v="2026-10-19T00:00:00"/>
  </r>
  <r>
    <s v="CS-1232"/>
    <d v="2026-10-15T00:00:00"/>
    <m/>
    <s v="Open"/>
    <s v="P2"/>
    <s v="Unscheduled repair"/>
    <s v="Fab B"/>
    <s v="Lin"/>
    <x v="2"/>
    <m/>
    <n v="5"/>
    <s v=""/>
    <s v=""/>
    <x v="6"/>
    <s v=""/>
  </r>
  <r>
    <s v="CS-1233"/>
    <d v="2026-10-15T00:00:00"/>
    <d v="2026-10-20T00:00:00"/>
    <s v="Closed"/>
    <s v="P2"/>
    <s v="Unscheduled repair"/>
    <s v="Fab A"/>
    <s v="Chen"/>
    <x v="0"/>
    <m/>
    <n v="5"/>
    <n v="5"/>
    <s v="Yes"/>
    <x v="6"/>
    <d v="2026-10-19T00:00:00"/>
  </r>
  <r>
    <s v="CS-1234"/>
    <d v="2026-10-15T00:00:00"/>
    <d v="2026-10-22T00:00:00"/>
    <s v="Closed"/>
    <s v="P3"/>
    <s v="Preventive maintenance"/>
    <s v="Fab B"/>
    <s v="Lin"/>
    <x v="0"/>
    <m/>
    <n v="10"/>
    <n v="7"/>
    <s v="Yes"/>
    <x v="6"/>
    <d v="2026-10-19T00:00:00"/>
  </r>
  <r>
    <s v="CS-1235"/>
    <d v="2026-10-15T00:00:00"/>
    <d v="2026-10-14T00:00:00"/>
    <s v="Closed"/>
    <s v="P2"/>
    <s v="Part replacement"/>
    <s v="Fab A"/>
    <s v="Huang"/>
    <x v="0"/>
    <s v="日期順序錯誤，待確認"/>
    <n v="5"/>
    <s v=""/>
    <s v=""/>
    <x v="6"/>
    <d v="2026-10-12T00:00:00"/>
  </r>
  <r>
    <s v="CS-1236"/>
    <d v="2026-10-15T00:00:00"/>
    <d v="2026-10-23T00:00:00"/>
    <s v="Closed"/>
    <s v="P3"/>
    <s v="Preventive maintenance"/>
    <s v="Fab A"/>
    <s v="Liu"/>
    <x v="0"/>
    <m/>
    <n v="10"/>
    <n v="8"/>
    <s v="Yes"/>
    <x v="6"/>
    <d v="2026-10-19T00:00:00"/>
  </r>
  <r>
    <s v="CS-1237"/>
    <d v="2026-10-15T00:00:00"/>
    <d v="2026-10-19T00:00:00"/>
    <s v="Closed"/>
    <s v="P2"/>
    <s v="Customer inquiry"/>
    <s v="Fab A"/>
    <s v="Lin"/>
    <x v="0"/>
    <m/>
    <n v="5"/>
    <n v="4"/>
    <s v="Yes"/>
    <x v="6"/>
    <d v="2026-10-19T00:00:00"/>
  </r>
  <r>
    <s v="CS-1238"/>
    <d v="2026-10-16T00:00:00"/>
    <d v="2026-10-23T00:00:00"/>
    <s v="Closed"/>
    <s v="P3"/>
    <s v="Preventive maintenance"/>
    <s v="Fab B"/>
    <s v="Lin"/>
    <x v="0"/>
    <m/>
    <n v="10"/>
    <n v="7"/>
    <s v="Yes"/>
    <x v="6"/>
    <d v="2026-10-19T00:00:00"/>
  </r>
  <r>
    <s v="CS-1239"/>
    <d v="2026-10-16T00:00:00"/>
    <d v="2026-10-21T00:00:00"/>
    <s v="Closed"/>
    <s v="P2"/>
    <s v="Preventive maintenance"/>
    <s v="Fab A"/>
    <s v="Chen"/>
    <x v="0"/>
    <m/>
    <n v="5"/>
    <n v="5"/>
    <s v="Yes"/>
    <x v="6"/>
    <d v="2026-10-19T00:00:00"/>
  </r>
  <r>
    <s v="CS-1240"/>
    <d v="2026-10-16T00:00:00"/>
    <d v="2026-10-18T00:00:00"/>
    <s v="Closed"/>
    <s v="P1"/>
    <s v="Preventive maintenance"/>
    <s v="Fab C"/>
    <s v="Huang"/>
    <x v="0"/>
    <m/>
    <n v="2"/>
    <n v="2"/>
    <s v="Yes"/>
    <x v="6"/>
    <d v="2026-10-12T00:00:00"/>
  </r>
  <r>
    <s v="CS-1241"/>
    <d v="2026-10-17T00:00:00"/>
    <m/>
    <s v="Open"/>
    <s v="P2"/>
    <s v="Software / upgrade"/>
    <s v="Fab C"/>
    <s v="Chen"/>
    <x v="3"/>
    <m/>
    <n v="5"/>
    <s v=""/>
    <s v=""/>
    <x v="6"/>
    <s v=""/>
  </r>
  <r>
    <s v="CS-1242"/>
    <d v="2026-10-17T00:00:00"/>
    <d v="2026-10-24T00:00:00"/>
    <s v="Closed"/>
    <s v="P3"/>
    <s v="Software / upgrade"/>
    <s v="Fab B"/>
    <s v="Chen"/>
    <x v="0"/>
    <m/>
    <n v="10"/>
    <n v="7"/>
    <s v="Yes"/>
    <x v="6"/>
    <d v="2026-10-19T00:00:00"/>
  </r>
  <r>
    <s v="CS-1243"/>
    <d v="2026-10-17T00:00:00"/>
    <m/>
    <s v="Open"/>
    <s v="P3"/>
    <s v="Customer inquiry"/>
    <s v="Fab C"/>
    <s v="Huang"/>
    <x v="0"/>
    <m/>
    <n v="10"/>
    <s v=""/>
    <s v=""/>
    <x v="6"/>
    <s v=""/>
  </r>
  <r>
    <s v="CS-1244"/>
    <d v="2026-10-17T00:00:00"/>
    <m/>
    <s v="Open"/>
    <s v="P2"/>
    <s v="Unscheduled repair"/>
    <s v="Fab C"/>
    <s v="Lin"/>
    <x v="3"/>
    <m/>
    <n v="5"/>
    <s v=""/>
    <s v=""/>
    <x v="6"/>
    <s v=""/>
  </r>
  <r>
    <s v="CS-1245"/>
    <d v="2026-10-17T00:00:00"/>
    <d v="2026-10-18T00:00:00"/>
    <s v="Closed"/>
    <s v="P2"/>
    <s v="Preventive maintenance"/>
    <s v="Fab B"/>
    <s v="Wang"/>
    <x v="0"/>
    <m/>
    <n v="5"/>
    <n v="1"/>
    <s v="Yes"/>
    <x v="6"/>
    <d v="2026-10-12T00:00:00"/>
  </r>
  <r>
    <s v="CS-1246"/>
    <d v="2026-10-18T00:00:00"/>
    <d v="2026-10-19T00:00:00"/>
    <s v="Closed"/>
    <s v="P1"/>
    <s v="Customer inquiry"/>
    <s v="Fab C"/>
    <s v="Unassigned"/>
    <x v="0"/>
    <m/>
    <n v="2"/>
    <n v="1"/>
    <s v="Yes"/>
    <x v="6"/>
    <d v="2026-10-19T00:00:00"/>
  </r>
  <r>
    <s v="CS-1247"/>
    <d v="2026-10-18T00:00:00"/>
    <m/>
    <s v="Open"/>
    <s v="P3"/>
    <s v="Part replacement"/>
    <s v="Fab B"/>
    <s v="Tsai"/>
    <x v="0"/>
    <m/>
    <n v="10"/>
    <s v=""/>
    <s v=""/>
    <x v="6"/>
    <s v=""/>
  </r>
  <r>
    <s v="CS-1248"/>
    <d v="2026-10-18T00:00:00"/>
    <d v="2026-10-23T00:00:00"/>
    <s v="Closed"/>
    <s v="P2"/>
    <s v="Customer inquiry"/>
    <s v="Fab C"/>
    <s v="Liu"/>
    <x v="0"/>
    <m/>
    <n v="5"/>
    <n v="5"/>
    <s v="Yes"/>
    <x v="6"/>
    <d v="2026-10-19T00:00:00"/>
  </r>
  <r>
    <s v="CS-1249"/>
    <d v="2026-10-18T00:00:00"/>
    <d v="2026-10-22T00:00:00"/>
    <s v="Closed"/>
    <s v="P2"/>
    <s v="Preventive maintenance"/>
    <s v="Fab A"/>
    <s v="Lin"/>
    <x v="0"/>
    <m/>
    <n v="5"/>
    <n v="4"/>
    <s v="Yes"/>
    <x v="6"/>
    <d v="2026-10-19T00:00:00"/>
  </r>
  <r>
    <s v="CS-1250"/>
    <d v="2026-10-18T00:00:00"/>
    <m/>
    <s v="Open"/>
    <s v="P3"/>
    <s v="Unscheduled repair"/>
    <s v="Fab C"/>
    <s v="Tsai"/>
    <x v="0"/>
    <m/>
    <n v="10"/>
    <s v=""/>
    <s v=""/>
    <x v="6"/>
    <s v=""/>
  </r>
  <r>
    <s v="CS-1251"/>
    <d v="2026-10-18T00:00:00"/>
    <d v="2026-10-25T00:00:00"/>
    <s v="Closed"/>
    <s v="P2"/>
    <s v="Unscheduled repair"/>
    <s v="Fab B"/>
    <s v="Unassigned"/>
    <x v="2"/>
    <m/>
    <n v="5"/>
    <n v="7"/>
    <s v="No"/>
    <x v="6"/>
    <d v="2026-10-19T00:00:00"/>
  </r>
  <r>
    <s v="CS-1252"/>
    <d v="2026-10-18T00:00:00"/>
    <m/>
    <s v="Open"/>
    <s v="P3"/>
    <s v="Unscheduled repair"/>
    <s v="Fab C"/>
    <s v="Huang"/>
    <x v="0"/>
    <m/>
    <n v="10"/>
    <s v=""/>
    <s v=""/>
    <x v="6"/>
    <s v=""/>
  </r>
  <r>
    <s v="CS-1253"/>
    <d v="2026-10-18T00:00:00"/>
    <d v="2026-10-20T00:00:00"/>
    <s v="Closed"/>
    <s v="P2"/>
    <s v="Preventive maintenance"/>
    <s v="Fab C"/>
    <s v="Chen"/>
    <x v="0"/>
    <m/>
    <n v="5"/>
    <n v="2"/>
    <s v="Yes"/>
    <x v="6"/>
    <d v="2026-10-19T00:00:00"/>
  </r>
  <r>
    <s v="CS-1254"/>
    <d v="2026-10-18T00:00:00"/>
    <m/>
    <s v="Open"/>
    <s v="P3"/>
    <s v="Unscheduled repair"/>
    <s v="Fab B"/>
    <s v="Tsai"/>
    <x v="0"/>
    <m/>
    <n v="10"/>
    <s v=""/>
    <s v=""/>
    <x v="6"/>
    <s v=""/>
  </r>
  <r>
    <s v="CS-1255"/>
    <d v="2026-10-18T00:00:00"/>
    <m/>
    <s v="Open"/>
    <s v="P3"/>
    <s v="Part replacement"/>
    <s v="Fab B"/>
    <s v="Liu"/>
    <x v="0"/>
    <m/>
    <n v="10"/>
    <s v=""/>
    <s v=""/>
    <x v="6"/>
    <s v=""/>
  </r>
  <r>
    <s v="CS-1256"/>
    <d v="2026-10-18T00:00:00"/>
    <m/>
    <s v="Open"/>
    <s v="P3"/>
    <s v="Preventive maintenance"/>
    <s v="Fab B"/>
    <s v="Chen"/>
    <x v="0"/>
    <m/>
    <n v="10"/>
    <s v=""/>
    <s v=""/>
    <x v="6"/>
    <s v=""/>
  </r>
  <r>
    <s v="CS-1257"/>
    <d v="2026-10-18T00:00:00"/>
    <d v="2026-10-20T00:00:00"/>
    <s v="Closed"/>
    <s v="P2"/>
    <s v="Unscheduled repair"/>
    <s v="Fab C"/>
    <s v="Huang"/>
    <x v="0"/>
    <m/>
    <n v="5"/>
    <n v="2"/>
    <s v="Yes"/>
    <x v="6"/>
    <d v="2026-10-19T00:00:00"/>
  </r>
  <r>
    <s v="CS-1258"/>
    <d v="2026-10-18T00:00:00"/>
    <d v="2026-10-22T00:00:00"/>
    <s v="Closed"/>
    <s v="P2"/>
    <s v="Part replacement"/>
    <s v="Fab A"/>
    <s v="Wang"/>
    <x v="0"/>
    <m/>
    <n v="5"/>
    <n v="4"/>
    <s v="Yes"/>
    <x v="6"/>
    <d v="2026-10-19T00:00:00"/>
  </r>
  <r>
    <s v="CS-1259"/>
    <d v="2026-10-18T00:00:00"/>
    <m/>
    <s v="Open"/>
    <s v="P2"/>
    <s v="Unscheduled repair"/>
    <s v="Fab C"/>
    <s v="Wang"/>
    <x v="2"/>
    <m/>
    <n v="5"/>
    <s v=""/>
    <s v=""/>
    <x v="6"/>
    <s v=""/>
  </r>
  <r>
    <s v="CS-1260"/>
    <d v="2026-10-18T00:00:00"/>
    <d v="2026-10-18T00:00:00"/>
    <s v="Closed"/>
    <s v="P1"/>
    <s v="Part replacement"/>
    <s v="Fab A"/>
    <s v="Lin"/>
    <x v="0"/>
    <m/>
    <n v="2"/>
    <n v="0"/>
    <s v="Yes"/>
    <x v="6"/>
    <d v="2026-10-12T00:00:00"/>
  </r>
  <r>
    <s v="CS-1261"/>
    <d v="2026-10-19T00:00:00"/>
    <d v="2026-10-23T00:00:00"/>
    <s v="Closed"/>
    <s v="P1"/>
    <s v="Customer inquiry"/>
    <s v="Fab C"/>
    <s v="Wang"/>
    <x v="4"/>
    <m/>
    <n v="2"/>
    <n v="4"/>
    <s v="No"/>
    <x v="7"/>
    <d v="2026-10-19T00:00:00"/>
  </r>
  <r>
    <s v="CS-1262"/>
    <d v="2026-10-19T00:00:00"/>
    <m/>
    <s v="Open"/>
    <s v="P3"/>
    <s v="Customer inquiry"/>
    <s v="Fab B"/>
    <s v="Wang"/>
    <x v="0"/>
    <m/>
    <n v="10"/>
    <s v=""/>
    <s v=""/>
    <x v="7"/>
    <s v=""/>
  </r>
  <r>
    <s v="CS-1263"/>
    <d v="2026-10-19T00:00:00"/>
    <d v="2026-10-25T00:00:00"/>
    <s v="Closed"/>
    <s v="P3"/>
    <s v="Part replacement"/>
    <s v="Fab C"/>
    <s v="Liu"/>
    <x v="0"/>
    <m/>
    <n v="10"/>
    <n v="6"/>
    <s v="Yes"/>
    <x v="7"/>
    <d v="2026-10-19T00:00:00"/>
  </r>
  <r>
    <s v="CS-1264"/>
    <d v="2026-10-19T00:00:00"/>
    <d v="2026-10-25T00:00:00"/>
    <s v="Closed"/>
    <s v="P2"/>
    <s v="Unscheduled repair"/>
    <s v="Fab A"/>
    <s v="Tsai"/>
    <x v="2"/>
    <m/>
    <n v="5"/>
    <n v="6"/>
    <s v="No"/>
    <x v="7"/>
    <d v="2026-10-19T00:00:00"/>
  </r>
  <r>
    <s v="CS-1265"/>
    <d v="2026-10-19T00:00:00"/>
    <d v="2026-10-22T00:00:00"/>
    <s v="Closed"/>
    <s v="P2"/>
    <s v="Software / upgrade"/>
    <s v="Fab C"/>
    <s v="Chen"/>
    <x v="0"/>
    <m/>
    <n v="5"/>
    <n v="3"/>
    <s v="Yes"/>
    <x v="7"/>
    <d v="2026-10-19T00:00:00"/>
  </r>
  <r>
    <s v="CS-1266"/>
    <d v="2026-10-20T00:00:00"/>
    <m/>
    <s v="Open"/>
    <s v="P3"/>
    <s v="Part replacement"/>
    <s v="Fab A"/>
    <s v="Tsai"/>
    <x v="0"/>
    <m/>
    <n v="10"/>
    <s v=""/>
    <s v=""/>
    <x v="7"/>
    <s v=""/>
  </r>
  <r>
    <s v="CS-1267"/>
    <d v="2026-10-20T00:00:00"/>
    <m/>
    <s v="Open"/>
    <s v="P3"/>
    <s v="Preventive maintenance"/>
    <s v="Fab B"/>
    <s v="Wang"/>
    <x v="0"/>
    <m/>
    <n v="10"/>
    <s v=""/>
    <s v=""/>
    <x v="7"/>
    <s v=""/>
  </r>
  <r>
    <s v="CS-1268"/>
    <d v="2026-10-20T00:00:00"/>
    <m/>
    <s v="Open"/>
    <s v="P3"/>
    <s v="Software / upgrade"/>
    <s v="Fab C"/>
    <s v="Liu"/>
    <x v="0"/>
    <m/>
    <n v="10"/>
    <s v=""/>
    <s v=""/>
    <x v="7"/>
    <s v=""/>
  </r>
  <r>
    <s v="CS-1269"/>
    <d v="2026-10-20T00:00:00"/>
    <d v="2026-10-23T00:00:00"/>
    <s v="Closed"/>
    <s v="P2"/>
    <s v="Software / upgrade"/>
    <s v="Fab C"/>
    <s v="Tsai"/>
    <x v="0"/>
    <m/>
    <n v="5"/>
    <n v="3"/>
    <s v="Yes"/>
    <x v="7"/>
    <d v="2026-10-19T00:00:00"/>
  </r>
  <r>
    <s v="CS-1270"/>
    <d v="2026-10-20T00:00:00"/>
    <m/>
    <s v="Open"/>
    <s v="P3"/>
    <s v="Preventive maintenance"/>
    <s v="Fab B"/>
    <s v="Liu"/>
    <x v="0"/>
    <m/>
    <n v="10"/>
    <s v=""/>
    <s v=""/>
    <x v="7"/>
    <s v=""/>
  </r>
  <r>
    <s v="CS-1271"/>
    <d v="2026-10-20T00:00:00"/>
    <d v="2026-10-23T00:00:00"/>
    <s v="Closed"/>
    <s v="P2"/>
    <s v="Customer inquiry"/>
    <s v="Fab A"/>
    <s v="Wang"/>
    <x v="0"/>
    <m/>
    <n v="5"/>
    <n v="3"/>
    <s v="Yes"/>
    <x v="7"/>
    <d v="2026-10-19T00:00:00"/>
  </r>
  <r>
    <s v="CS-1272"/>
    <d v="2026-10-21T00:00:00"/>
    <d v="2026-10-23T00:00:00"/>
    <s v="Closed"/>
    <s v="P2"/>
    <s v="Part replacement"/>
    <s v="Fab B"/>
    <s v="Huang"/>
    <x v="0"/>
    <m/>
    <n v="5"/>
    <n v="2"/>
    <s v="Yes"/>
    <x v="7"/>
    <d v="2026-10-19T00:00:00"/>
  </r>
  <r>
    <s v="CS-1273"/>
    <d v="2026-10-21T00:00:00"/>
    <d v="2026-10-24T00:00:00"/>
    <s v="Closed"/>
    <s v="P1"/>
    <s v="Part replacement"/>
    <s v="Fab A"/>
    <s v="Tsai"/>
    <x v="2"/>
    <m/>
    <n v="2"/>
    <n v="3"/>
    <s v="No"/>
    <x v="7"/>
    <d v="2026-10-19T00:00:00"/>
  </r>
  <r>
    <s v="CS-1274"/>
    <d v="2026-10-21T00:00:00"/>
    <m/>
    <s v="Open"/>
    <s v="P3"/>
    <s v="Preventive maintenance"/>
    <s v="Fab C"/>
    <s v="Chen"/>
    <x v="0"/>
    <m/>
    <n v="10"/>
    <s v=""/>
    <s v=""/>
    <x v="7"/>
    <s v=""/>
  </r>
  <r>
    <s v="CS-1275"/>
    <d v="2026-10-22T00:00:00"/>
    <m/>
    <s v="Open"/>
    <s v="P3"/>
    <s v="Customer inquiry"/>
    <s v="Fab A"/>
    <s v="Liu"/>
    <x v="0"/>
    <m/>
    <n v="10"/>
    <s v=""/>
    <s v=""/>
    <x v="7"/>
    <s v=""/>
  </r>
  <r>
    <s v="CS-1276"/>
    <d v="2026-10-22T00:00:00"/>
    <m/>
    <s v="Open"/>
    <s v="P2"/>
    <s v="Preventive maintenance"/>
    <s v="Fab C"/>
    <s v="Chen"/>
    <x v="0"/>
    <m/>
    <n v="5"/>
    <s v=""/>
    <s v=""/>
    <x v="7"/>
    <s v=""/>
  </r>
  <r>
    <s v="CS-1277"/>
    <d v="2026-10-22T00:00:00"/>
    <d v="2026-10-24T00:00:00"/>
    <s v="Closed"/>
    <s v="P1"/>
    <s v="Preventive maintenance"/>
    <s v="Fab A"/>
    <s v="Chen"/>
    <x v="0"/>
    <m/>
    <n v="2"/>
    <n v="2"/>
    <s v="Yes"/>
    <x v="7"/>
    <d v="2026-10-19T00:00:00"/>
  </r>
  <r>
    <s v="CS-1278"/>
    <d v="2026-10-22T00:00:00"/>
    <m/>
    <s v="Open"/>
    <s v="P3"/>
    <s v="Customer inquiry"/>
    <s v="Fab A"/>
    <s v="Huang"/>
    <x v="0"/>
    <m/>
    <n v="10"/>
    <s v=""/>
    <s v=""/>
    <x v="7"/>
    <s v=""/>
  </r>
  <r>
    <s v="CS-1279"/>
    <d v="2026-10-22T00:00:00"/>
    <m/>
    <s v="Open"/>
    <s v="P2"/>
    <s v="Preventive maintenance"/>
    <s v="Fab B"/>
    <s v="Wang"/>
    <x v="0"/>
    <m/>
    <n v="5"/>
    <s v=""/>
    <s v=""/>
    <x v="7"/>
    <s v=""/>
  </r>
  <r>
    <s v="CS-1280"/>
    <d v="2026-10-22T00:00:00"/>
    <m/>
    <s v="Open"/>
    <s v="P3"/>
    <s v="Unscheduled repair"/>
    <s v="Fab C"/>
    <s v="Chen"/>
    <x v="0"/>
    <m/>
    <n v="10"/>
    <s v=""/>
    <s v=""/>
    <x v="7"/>
    <s v=""/>
  </r>
  <r>
    <s v="CS-1281"/>
    <d v="2026-10-22T00:00:00"/>
    <m/>
    <s v="Open"/>
    <s v="P3"/>
    <s v="Unscheduled repair"/>
    <s v="Fab B"/>
    <s v="Liu"/>
    <x v="0"/>
    <m/>
    <n v="10"/>
    <s v=""/>
    <s v=""/>
    <x v="7"/>
    <s v=""/>
  </r>
  <r>
    <s v="CS-1282"/>
    <d v="2026-10-22T00:00:00"/>
    <m/>
    <s v="Open"/>
    <s v="P1"/>
    <s v="Preventive maintenance"/>
    <s v="Fab C"/>
    <s v="Liu"/>
    <x v="3"/>
    <m/>
    <n v="2"/>
    <s v=""/>
    <s v=""/>
    <x v="7"/>
    <s v=""/>
  </r>
  <r>
    <s v="CS-1283"/>
    <d v="2026-10-23T00:00:00"/>
    <m/>
    <s v="Open"/>
    <s v="P2"/>
    <s v="Unscheduled repair"/>
    <s v="Fab A"/>
    <s v="Liu"/>
    <x v="0"/>
    <m/>
    <n v="5"/>
    <s v=""/>
    <s v=""/>
    <x v="7"/>
    <s v=""/>
  </r>
  <r>
    <s v="CS-1284"/>
    <d v="2026-10-23T00:00:00"/>
    <m/>
    <s v="Open"/>
    <s v="P2"/>
    <s v="Customer inquiry"/>
    <s v="Fab B"/>
    <s v="Lin"/>
    <x v="0"/>
    <m/>
    <n v="5"/>
    <s v=""/>
    <s v=""/>
    <x v="7"/>
    <s v=""/>
  </r>
  <r>
    <s v="CS-1285"/>
    <d v="2026-10-23T00:00:00"/>
    <d v="2026-10-25T00:00:00"/>
    <s v="Closed"/>
    <s v="P1"/>
    <s v="Customer inquiry"/>
    <s v="Fab B"/>
    <s v="Huang"/>
    <x v="0"/>
    <m/>
    <n v="2"/>
    <n v="2"/>
    <s v="Yes"/>
    <x v="7"/>
    <d v="2026-10-19T00:00:00"/>
  </r>
  <r>
    <s v="CS-1286"/>
    <d v="2026-10-23T00:00:00"/>
    <d v="2026-10-25T00:00:00"/>
    <s v="Closed"/>
    <s v="P2"/>
    <s v="Preventive maintenance"/>
    <s v="Fab B"/>
    <s v="Chen"/>
    <x v="0"/>
    <m/>
    <n v="5"/>
    <n v="2"/>
    <s v="Yes"/>
    <x v="7"/>
    <d v="2026-10-19T00:00:00"/>
  </r>
  <r>
    <s v="CS-1287"/>
    <d v="2026-10-23T00:00:00"/>
    <m/>
    <s v="Open"/>
    <s v="P3"/>
    <s v="Unscheduled repair"/>
    <s v="Fab B"/>
    <m/>
    <x v="0"/>
    <m/>
    <n v="10"/>
    <s v=""/>
    <s v=""/>
    <x v="7"/>
    <s v=""/>
  </r>
  <r>
    <s v="CS-1288"/>
    <d v="2026-10-23T00:00:00"/>
    <d v="2026-10-24T00:00:00"/>
    <s v="Closed"/>
    <s v="P2"/>
    <s v="Part replacement"/>
    <s v="Fab C"/>
    <s v="Tsai"/>
    <x v="0"/>
    <m/>
    <n v="5"/>
    <n v="1"/>
    <s v="Yes"/>
    <x v="7"/>
    <d v="2026-10-19T00:00:00"/>
  </r>
  <r>
    <s v="CS-1289"/>
    <d v="2026-10-24T00:00:00"/>
    <m/>
    <s v="Open"/>
    <s v="P3"/>
    <s v="Software / upgrade"/>
    <s v="Fab A"/>
    <s v="Wang"/>
    <x v="0"/>
    <m/>
    <n v="10"/>
    <s v=""/>
    <s v=""/>
    <x v="7"/>
    <s v=""/>
  </r>
  <r>
    <s v="CS-1290"/>
    <d v="2026-10-24T00:00:00"/>
    <m/>
    <s v="Open"/>
    <s v="P2"/>
    <s v="Customer inquiry"/>
    <s v="Fab C"/>
    <s v="Lin"/>
    <x v="0"/>
    <m/>
    <n v="5"/>
    <s v=""/>
    <s v=""/>
    <x v="7"/>
    <s v=""/>
  </r>
  <r>
    <s v="CS-1291"/>
    <d v="2026-10-24T00:00:00"/>
    <m/>
    <s v="Open"/>
    <s v="P3"/>
    <s v="Preventive maintenance"/>
    <s v="Fab B"/>
    <s v="Tsai"/>
    <x v="0"/>
    <m/>
    <n v="10"/>
    <s v=""/>
    <s v=""/>
    <x v="7"/>
    <s v=""/>
  </r>
  <r>
    <s v="CS-1292"/>
    <d v="2026-10-24T00:00:00"/>
    <m/>
    <s v="Open"/>
    <s v="P3"/>
    <s v="Unscheduled repair"/>
    <s v="Fab B"/>
    <s v="Tsai"/>
    <x v="0"/>
    <m/>
    <n v="10"/>
    <s v=""/>
    <s v=""/>
    <x v="7"/>
    <s v=""/>
  </r>
  <r>
    <s v="CS-1293"/>
    <d v="2026-10-24T00:00:00"/>
    <m/>
    <s v="Open"/>
    <s v="P3"/>
    <s v="Part replacement"/>
    <s v="Fab C"/>
    <s v="Wang"/>
    <x v="0"/>
    <m/>
    <n v="10"/>
    <s v=""/>
    <s v=""/>
    <x v="7"/>
    <s v=""/>
  </r>
  <r>
    <s v="CS-1294"/>
    <d v="2026-10-25T00:00:00"/>
    <m/>
    <s v="Open"/>
    <s v="P2"/>
    <s v="Preventive maintenance"/>
    <s v="Fab A"/>
    <s v="Tsai"/>
    <x v="0"/>
    <m/>
    <n v="5"/>
    <s v=""/>
    <s v=""/>
    <x v="7"/>
    <s v=""/>
  </r>
  <r>
    <s v="CS-1295"/>
    <d v="2026-10-25T00:00:00"/>
    <m/>
    <s v="Open"/>
    <s v="P3"/>
    <s v="Preventive maintenance"/>
    <s v="Fab A"/>
    <s v="Lin"/>
    <x v="0"/>
    <m/>
    <n v="10"/>
    <s v=""/>
    <s v=""/>
    <x v="7"/>
    <s v=""/>
  </r>
  <r>
    <s v="CS-1296"/>
    <d v="2026-10-25T00:00:00"/>
    <m/>
    <s v="Open"/>
    <s v="P3"/>
    <s v="Preventive maintenance"/>
    <s v="Fab C"/>
    <s v="Liu"/>
    <x v="0"/>
    <m/>
    <n v="10"/>
    <s v=""/>
    <s v=""/>
    <x v="7"/>
    <s v=""/>
  </r>
  <r>
    <s v="CS-1297"/>
    <d v="2026-10-25T00:00:00"/>
    <m/>
    <s v="Open"/>
    <s v="P2"/>
    <s v="Preventive maintenance"/>
    <s v="Fab B"/>
    <s v="Liu"/>
    <x v="0"/>
    <m/>
    <n v="5"/>
    <s v=""/>
    <s v=""/>
    <x v="7"/>
    <s v=""/>
  </r>
  <r>
    <s v="CS-1298"/>
    <d v="2026-10-25T00:00:00"/>
    <m/>
    <s v="Open"/>
    <s v="P3"/>
    <s v="Preventive maintenance"/>
    <s v="Fab B"/>
    <s v="Tsai"/>
    <x v="0"/>
    <m/>
    <n v="10"/>
    <s v=""/>
    <s v=""/>
    <x v="7"/>
    <s v=""/>
  </r>
  <r>
    <s v="CS-1299"/>
    <d v="2026-10-25T00:00:00"/>
    <m/>
    <s v="Open"/>
    <s v="P2"/>
    <s v="Preventive maintenance"/>
    <s v="Fab A"/>
    <s v="Tsai"/>
    <x v="0"/>
    <m/>
    <n v="5"/>
    <s v=""/>
    <s v=""/>
    <x v="7"/>
    <s v=""/>
  </r>
  <r>
    <s v="CS-1300"/>
    <d v="2026-10-25T00:00:00"/>
    <m/>
    <s v="Open"/>
    <s v="P3"/>
    <s v="Customer inquiry"/>
    <s v="Fab B"/>
    <s v="Huang"/>
    <x v="0"/>
    <s v=""/>
    <n v="10"/>
    <s v=""/>
    <s v=""/>
    <x v="7"/>
    <s v=""/>
  </r>
  <r>
    <s v="CS-1301"/>
    <d v="2026-10-26T00:00:00"/>
    <d v="2026-10-28T00:00:00"/>
    <s v="Closed"/>
    <s v="P2"/>
    <s v="Part replacement"/>
    <s v="Fab A"/>
    <s v="Lin"/>
    <x v="0"/>
    <b v="1"/>
    <n v="5"/>
    <s v=""/>
    <s v=""/>
    <x v="8"/>
    <d v="2026-10-26T00:00:00"/>
  </r>
  <r>
    <s v="CS-1302"/>
    <d v="2026-10-26T00:00:00"/>
    <m/>
    <s v="Open"/>
    <s v="P1"/>
    <s v="Unscheduled repair"/>
    <s v="Fab B"/>
    <s v="Chen"/>
    <x v="2"/>
    <s v=""/>
    <n v="2"/>
    <s v=""/>
    <s v=""/>
    <x v="8"/>
    <s v=""/>
  </r>
  <r>
    <s v="CS-1303"/>
    <d v="2026-10-27T00:00:00"/>
    <d v="2026-10-29T00:00:00"/>
    <s v="Closed"/>
    <s v="P3"/>
    <s v="Preventive maintenance"/>
    <s v="Fab C"/>
    <s v="Wang"/>
    <x v="0"/>
    <b v="1"/>
    <n v="10"/>
    <s v=""/>
    <s v=""/>
    <x v="8"/>
    <d v="2026-10-26T00:00:00"/>
  </r>
  <r>
    <s v="CS-1304"/>
    <d v="2026-10-28T00:00:00"/>
    <m/>
    <s v="Open"/>
    <s v="P2"/>
    <s v="Software / upgrade"/>
    <s v="Fab A"/>
    <s v="Tsai"/>
    <x v="0"/>
    <s v=""/>
    <n v="5"/>
    <s v=""/>
    <s v=""/>
    <x v="8"/>
    <s v=""/>
  </r>
  <r>
    <s v="CS-1305"/>
    <d v="2026-10-29T00:00:00"/>
    <m/>
    <s v="Open"/>
    <s v="P3"/>
    <s v="Customer inquiry"/>
    <s v="Fab B"/>
    <s v="Liu"/>
    <x v="0"/>
    <m/>
    <n v="10"/>
    <s v=""/>
    <s v=""/>
    <x v="8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FD1BD-13E3-2F4D-A91A-649334A0D283}" name="樞紐分析表3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21:C26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1"/>
        <item x="3"/>
        <item x="2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76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計數 - Case_ID" fld="0" subtotal="count" baseField="0" baseItem="0"/>
    <dataField name="計數 - Case_ID2" fld="0" subtotal="count" showDataAs="percentOfTotal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BD53C-9495-2B49-AA1F-E84F486377D3}" name="樞紐分析表1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3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76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3"/>
  </rowFields>
  <rowItems count="10">
    <i>
      <x v="244"/>
    </i>
    <i>
      <x v="251"/>
    </i>
    <i>
      <x v="258"/>
    </i>
    <i>
      <x v="265"/>
    </i>
    <i>
      <x v="272"/>
    </i>
    <i>
      <x v="279"/>
    </i>
    <i>
      <x v="286"/>
    </i>
    <i>
      <x v="293"/>
    </i>
    <i>
      <x v="300"/>
    </i>
    <i t="grand">
      <x/>
    </i>
  </rowItems>
  <colItems count="1">
    <i/>
  </colItems>
  <dataFields count="1">
    <dataField name="計數 -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9637C-F768-5E43-B907-545566473B32}" name="表格1" displayName="表格1" ref="E3:I12" totalsRowShown="0">
  <autoFilter ref="E3:I12" xr:uid="{3CE9637C-F768-5E43-B907-545566473B32}"/>
  <tableColumns count="5">
    <tableColumn id="1" xr3:uid="{13AEED06-BABC-F641-B6D3-F16A2E14DBBE}" name="週" dataDxfId="5"/>
    <tableColumn id="2" xr3:uid="{39CEA23D-9BE7-C34D-927C-9E4553632E18}" name="開案數">
      <calculatedColumnFormula>COUNTIFS(Cases_Tbl[Open_Week],E4)</calculatedColumnFormula>
    </tableColumn>
    <tableColumn id="3" xr3:uid="{0433686A-E423-D649-B3DB-013CC2558FE0}" name="結案數">
      <calculatedColumnFormula>COUNTIFS(Cases_Tbl[Close_Week],E4)</calculatedColumnFormula>
    </tableColumn>
    <tableColumn id="4" xr3:uid="{528E55D7-A35C-2546-9C13-7EB3557559E2}" name="準時結案率" dataDxfId="3" dataCellStyle="百分比">
      <calculatedColumnFormula>IFERROR(COUNTIFS(Cases_Tbl[Close_Week],E4,Cases_Tbl[On_Time],"Yes")/(COUNTIFS(Cases_Tbl[Close_Week],E4,Cases_Tbl[On_Time],"Yes")+COUNTIFS(Cases_Tbl[Close_Week],E4,Cases_Tbl[On_Time],"No")),"")</calculatedColumnFormula>
    </tableColumn>
    <tableColumn id="5" xr3:uid="{96A28CF9-64A5-E349-B3B9-736864C3742A}" name="平均處理天數" dataDxfId="4">
      <calculatedColumnFormula>IFERROR(AVERAGEIFS(Cases_Tbl[Days_to_Close],Cases_Tbl[Close_Week],E4),"")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BAC54-DF48-8F44-9F48-C87E9CC35776}" name="Cases_Tbl" displayName="Cases_Tbl" ref="A1:Q306" totalsRowShown="0" headerRowDxfId="20" dataDxfId="19">
  <autoFilter ref="A1:Q306" xr:uid="{725BAC54-DF48-8F44-9F48-C87E9CC35776}"/>
  <tableColumns count="17">
    <tableColumn id="1" xr3:uid="{8D4F17C3-B2DB-934A-8F78-394DDC1250AC}" name="Case_ID" dataDxfId="18"/>
    <tableColumn id="2" xr3:uid="{62006702-F645-B349-BA3B-EE2CFF4490A1}" name="Open_Date" dataDxfId="17"/>
    <tableColumn id="3" xr3:uid="{BE2951A8-8C33-7D46-972F-49A073A75F3D}" name="Close_Date" dataDxfId="16"/>
    <tableColumn id="4" xr3:uid="{343AABF3-6EEE-C841-AC90-9989485A687F}" name="Status" dataDxfId="15"/>
    <tableColumn id="5" xr3:uid="{AD0AAAD8-E21C-9144-847D-92479DE761B3}" name="Priority" dataDxfId="14"/>
    <tableColumn id="6" xr3:uid="{23DB7373-8C95-3E44-983D-A5561C4422C8}" name="Case_Type" dataDxfId="13"/>
    <tableColumn id="7" xr3:uid="{F4FC540F-7AD3-DE4C-AD39-EFDCE51562F7}" name="Customer_Site" dataDxfId="12"/>
    <tableColumn id="8" xr3:uid="{DA036346-E0BB-EC46-B278-27A85EE5C7D3}" name="Owner" dataDxfId="11"/>
    <tableColumn id="9" xr3:uid="{31841077-6FF8-C946-8A19-55B3E1F5541B}" name="Delay_Reason" dataDxfId="10"/>
    <tableColumn id="10" xr3:uid="{7548CF29-90F5-7A4A-8BC5-F26F26CD1B03}" name="Data_Flag"/>
    <tableColumn id="11" xr3:uid="{D31EB189-4270-F149-949F-E936DEA601CC}" name="Target_Days" dataDxfId="9">
      <calculatedColumnFormula>_xlfn.XLOOKUP(Cases_Tbl[[#This Row],[Priority]],SLA_Table!$A$2:$A$4,SLA_Table!$B$2:$B$4)</calculatedColumnFormula>
    </tableColumn>
    <tableColumn id="12" xr3:uid="{6359F037-C732-1D4D-A45B-B4E1F1DDA762}" name="Days_to_Close" dataDxfId="8">
      <calculatedColumnFormula>IF(OR(C2="",J2&lt;&gt;""),"",C2-B2)</calculatedColumnFormula>
    </tableColumn>
    <tableColumn id="13" xr3:uid="{A9329A3C-47F6-FE48-BD7B-FCC91C384F22}" name="On_Time" dataDxfId="7">
      <calculatedColumnFormula>IF(L2="","",IF(L2&lt;=K2,"Yes","No"))</calculatedColumnFormula>
    </tableColumn>
    <tableColumn id="14" xr3:uid="{2A2A36DB-7E0C-1141-98B1-D79A0685D4A4}" name="Open_Week" dataDxfId="6">
      <calculatedColumnFormula>B2-WEEKDAY(B2,2)+1</calculatedColumnFormula>
    </tableColumn>
    <tableColumn id="15" xr3:uid="{37F0BBFF-22AC-7E42-BEAB-91975CBD5CE2}" name="Close_Week" dataDxfId="2">
      <calculatedColumnFormula>IF(C2="","",C2-WEEKDAY(C2,2)+1)</calculatedColumnFormula>
    </tableColumn>
    <tableColumn id="16" xr3:uid="{B0A1FBC6-4F73-784D-96DA-A4C107FE6BEB}" name="Age_Days" dataDxfId="0">
      <calculatedColumnFormula>IF(D2="Open",KPI!$K$13-B2,"")</calculatedColumnFormula>
    </tableColumn>
    <tableColumn id="17" xr3:uid="{0FD60E4E-918C-C440-8CF0-824A7C7F0D99}" name="Over_Target" dataDxfId="1">
      <calculatedColumnFormula>IF(P2="","",IF(P2&gt;K2,"Yes","No"))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zoomScale="150" workbookViewId="0"/>
  </sheetViews>
  <sheetFormatPr baseColWidth="10" defaultColWidth="9" defaultRowHeight="14"/>
  <cols>
    <col min="1" max="1" width="100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2"/>
    </row>
    <row r="4" spans="1:1">
      <c r="A4" s="1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/>
    </row>
    <row r="14" spans="1:1">
      <c r="A14" s="2" t="s">
        <v>11</v>
      </c>
    </row>
    <row r="15" spans="1:1">
      <c r="A15" s="2"/>
    </row>
    <row r="16" spans="1:1">
      <c r="A16" s="1" t="s">
        <v>12</v>
      </c>
    </row>
    <row r="17" spans="1:1">
      <c r="A17" s="2" t="s">
        <v>13</v>
      </c>
    </row>
    <row r="18" spans="1:1">
      <c r="A18" s="2" t="s">
        <v>14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7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10" customWidth="1"/>
    <col min="2" max="3" width="12" customWidth="1"/>
    <col min="4" max="4" width="9" customWidth="1"/>
    <col min="5" max="5" width="10" customWidth="1"/>
    <col min="6" max="6" width="24" customWidth="1"/>
    <col min="7" max="7" width="13" customWidth="1"/>
    <col min="8" max="8" width="10" customWidth="1"/>
    <col min="9" max="9" width="26" customWidth="1"/>
  </cols>
  <sheetData>
    <row r="1" spans="1:9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>
      <c r="A2" s="2" t="s">
        <v>24</v>
      </c>
      <c r="B2" s="4">
        <v>46265</v>
      </c>
      <c r="C2" s="4">
        <v>46266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/>
    </row>
    <row r="3" spans="1:9">
      <c r="A3" s="2" t="s">
        <v>30</v>
      </c>
      <c r="B3" s="4">
        <v>46265</v>
      </c>
      <c r="C3" s="4">
        <v>46266</v>
      </c>
      <c r="D3" s="2" t="s">
        <v>25</v>
      </c>
      <c r="E3" s="2" t="s">
        <v>26</v>
      </c>
      <c r="F3" s="2" t="s">
        <v>31</v>
      </c>
      <c r="G3" s="2" t="s">
        <v>32</v>
      </c>
      <c r="H3" s="2" t="s">
        <v>33</v>
      </c>
      <c r="I3" s="2"/>
    </row>
    <row r="4" spans="1:9">
      <c r="A4" s="2" t="s">
        <v>34</v>
      </c>
      <c r="B4" s="4">
        <v>46265</v>
      </c>
      <c r="C4" s="4">
        <v>46271</v>
      </c>
      <c r="D4" s="2" t="s">
        <v>25</v>
      </c>
      <c r="E4" s="2" t="s">
        <v>35</v>
      </c>
      <c r="F4" s="2" t="s">
        <v>31</v>
      </c>
      <c r="G4" s="2" t="s">
        <v>28</v>
      </c>
      <c r="H4" s="2" t="s">
        <v>36</v>
      </c>
      <c r="I4" s="2"/>
    </row>
    <row r="5" spans="1:9">
      <c r="A5" s="2" t="s">
        <v>37</v>
      </c>
      <c r="B5" s="4">
        <v>46266</v>
      </c>
      <c r="C5" s="4">
        <v>46272</v>
      </c>
      <c r="D5" s="2" t="s">
        <v>25</v>
      </c>
      <c r="E5" s="2" t="s">
        <v>35</v>
      </c>
      <c r="F5" s="2" t="s">
        <v>38</v>
      </c>
      <c r="G5" s="2" t="s">
        <v>39</v>
      </c>
      <c r="H5" s="2" t="s">
        <v>36</v>
      </c>
      <c r="I5" s="2"/>
    </row>
    <row r="6" spans="1:9">
      <c r="A6" s="2" t="s">
        <v>40</v>
      </c>
      <c r="B6" s="4">
        <v>46266</v>
      </c>
      <c r="C6" s="4">
        <v>46268</v>
      </c>
      <c r="D6" s="2" t="s">
        <v>25</v>
      </c>
      <c r="E6" s="2" t="s">
        <v>26</v>
      </c>
      <c r="F6" s="2" t="s">
        <v>41</v>
      </c>
      <c r="G6" s="2" t="s">
        <v>39</v>
      </c>
      <c r="H6" s="2" t="s">
        <v>29</v>
      </c>
      <c r="I6" s="2"/>
    </row>
    <row r="7" spans="1:9">
      <c r="A7" s="2" t="s">
        <v>42</v>
      </c>
      <c r="B7" s="4">
        <v>46266</v>
      </c>
      <c r="C7" s="4">
        <v>46268</v>
      </c>
      <c r="D7" s="2" t="s">
        <v>25</v>
      </c>
      <c r="E7" s="2" t="s">
        <v>43</v>
      </c>
      <c r="F7" s="2" t="s">
        <v>27</v>
      </c>
      <c r="G7" s="2" t="s">
        <v>28</v>
      </c>
      <c r="H7" s="2" t="s">
        <v>44</v>
      </c>
      <c r="I7" s="2"/>
    </row>
    <row r="8" spans="1:9">
      <c r="A8" s="2" t="s">
        <v>45</v>
      </c>
      <c r="B8" s="4">
        <v>46266</v>
      </c>
      <c r="C8" s="4">
        <v>46267</v>
      </c>
      <c r="D8" s="2" t="s">
        <v>25</v>
      </c>
      <c r="E8" s="2" t="s">
        <v>26</v>
      </c>
      <c r="F8" s="2" t="s">
        <v>31</v>
      </c>
      <c r="G8" s="2" t="s">
        <v>28</v>
      </c>
      <c r="H8" s="2" t="s">
        <v>33</v>
      </c>
      <c r="I8" s="2"/>
    </row>
    <row r="9" spans="1:9">
      <c r="A9" s="2" t="s">
        <v>46</v>
      </c>
      <c r="B9" s="4">
        <v>46266</v>
      </c>
      <c r="C9" s="4">
        <v>46266</v>
      </c>
      <c r="D9" s="2" t="s">
        <v>25</v>
      </c>
      <c r="E9" s="2" t="s">
        <v>43</v>
      </c>
      <c r="F9" s="2" t="s">
        <v>47</v>
      </c>
      <c r="G9" s="2" t="s">
        <v>32</v>
      </c>
      <c r="H9" s="2" t="s">
        <v>48</v>
      </c>
      <c r="I9" s="2"/>
    </row>
    <row r="10" spans="1:9">
      <c r="A10" s="2" t="s">
        <v>49</v>
      </c>
      <c r="B10" s="4">
        <v>46267</v>
      </c>
      <c r="C10" s="4">
        <v>46271</v>
      </c>
      <c r="D10" s="2" t="s">
        <v>25</v>
      </c>
      <c r="E10" s="2" t="s">
        <v>26</v>
      </c>
      <c r="F10" s="2" t="s">
        <v>41</v>
      </c>
      <c r="G10" s="2" t="s">
        <v>32</v>
      </c>
      <c r="H10" s="2" t="s">
        <v>33</v>
      </c>
      <c r="I10" s="2"/>
    </row>
    <row r="11" spans="1:9">
      <c r="A11" s="2" t="s">
        <v>50</v>
      </c>
      <c r="B11" s="4">
        <v>46267</v>
      </c>
      <c r="C11" s="4">
        <v>46272</v>
      </c>
      <c r="D11" s="2" t="s">
        <v>25</v>
      </c>
      <c r="E11" s="2" t="s">
        <v>26</v>
      </c>
      <c r="F11" s="2" t="s">
        <v>47</v>
      </c>
      <c r="G11" s="2" t="s">
        <v>28</v>
      </c>
      <c r="H11" s="2" t="s">
        <v>29</v>
      </c>
      <c r="I11" s="2"/>
    </row>
    <row r="12" spans="1:9">
      <c r="A12" s="2" t="s">
        <v>51</v>
      </c>
      <c r="B12" s="4">
        <v>46268</v>
      </c>
      <c r="C12" s="4">
        <v>46282</v>
      </c>
      <c r="D12" s="2" t="s">
        <v>25</v>
      </c>
      <c r="E12" s="2" t="s">
        <v>35</v>
      </c>
      <c r="F12" s="2" t="s">
        <v>27</v>
      </c>
      <c r="G12" s="2" t="s">
        <v>32</v>
      </c>
      <c r="H12" s="2" t="s">
        <v>29</v>
      </c>
      <c r="I12" s="2" t="s">
        <v>52</v>
      </c>
    </row>
    <row r="13" spans="1:9">
      <c r="A13" s="2" t="s">
        <v>53</v>
      </c>
      <c r="B13" s="4">
        <v>46268</v>
      </c>
      <c r="C13" s="4">
        <v>46283</v>
      </c>
      <c r="D13" s="2" t="s">
        <v>25</v>
      </c>
      <c r="E13" s="2" t="s">
        <v>35</v>
      </c>
      <c r="F13" s="2" t="s">
        <v>31</v>
      </c>
      <c r="G13" s="2" t="s">
        <v>32</v>
      </c>
      <c r="H13" s="2" t="s">
        <v>54</v>
      </c>
      <c r="I13" s="2" t="s">
        <v>55</v>
      </c>
    </row>
    <row r="14" spans="1:9">
      <c r="A14" s="2" t="s">
        <v>56</v>
      </c>
      <c r="B14" s="4">
        <v>46268</v>
      </c>
      <c r="C14" s="4">
        <v>46271</v>
      </c>
      <c r="D14" s="2" t="s">
        <v>25</v>
      </c>
      <c r="E14" s="2" t="s">
        <v>43</v>
      </c>
      <c r="F14" s="2" t="s">
        <v>38</v>
      </c>
      <c r="G14" s="2" t="s">
        <v>28</v>
      </c>
      <c r="H14" s="2" t="s">
        <v>54</v>
      </c>
      <c r="I14" s="2" t="s">
        <v>57</v>
      </c>
    </row>
    <row r="15" spans="1:9">
      <c r="A15" s="2" t="s">
        <v>58</v>
      </c>
      <c r="B15" s="4">
        <v>46268</v>
      </c>
      <c r="C15" s="4">
        <v>46269</v>
      </c>
      <c r="D15" s="2" t="s">
        <v>25</v>
      </c>
      <c r="E15" s="2" t="s">
        <v>26</v>
      </c>
      <c r="F15" s="2" t="s">
        <v>31</v>
      </c>
      <c r="G15" s="2" t="s">
        <v>32</v>
      </c>
      <c r="H15" s="2" t="s">
        <v>36</v>
      </c>
      <c r="I15" s="2"/>
    </row>
    <row r="16" spans="1:9">
      <c r="A16" s="2" t="s">
        <v>59</v>
      </c>
      <c r="B16" s="4">
        <v>46268</v>
      </c>
      <c r="C16" s="4">
        <v>46279</v>
      </c>
      <c r="D16" s="2" t="s">
        <v>25</v>
      </c>
      <c r="E16" s="2" t="s">
        <v>35</v>
      </c>
      <c r="F16" s="2" t="s">
        <v>41</v>
      </c>
      <c r="G16" s="2" t="s">
        <v>39</v>
      </c>
      <c r="H16" s="2" t="s">
        <v>36</v>
      </c>
      <c r="I16" s="2" t="s">
        <v>60</v>
      </c>
    </row>
    <row r="17" spans="1:9">
      <c r="A17" s="2" t="s">
        <v>61</v>
      </c>
      <c r="B17" s="4">
        <v>46268</v>
      </c>
      <c r="C17" s="4">
        <v>46269</v>
      </c>
      <c r="D17" s="2" t="s">
        <v>25</v>
      </c>
      <c r="E17" s="2" t="s">
        <v>26</v>
      </c>
      <c r="F17" s="2" t="s">
        <v>41</v>
      </c>
      <c r="G17" s="2" t="s">
        <v>32</v>
      </c>
      <c r="H17" s="2" t="s">
        <v>54</v>
      </c>
      <c r="I17" s="2"/>
    </row>
    <row r="18" spans="1:9">
      <c r="A18" s="2" t="s">
        <v>62</v>
      </c>
      <c r="B18" s="4">
        <v>46269</v>
      </c>
      <c r="C18" s="4">
        <v>46269</v>
      </c>
      <c r="D18" s="2" t="s">
        <v>25</v>
      </c>
      <c r="E18" s="2" t="s">
        <v>43</v>
      </c>
      <c r="F18" s="2" t="s">
        <v>31</v>
      </c>
      <c r="G18" s="2" t="s">
        <v>32</v>
      </c>
      <c r="H18" s="2" t="s">
        <v>44</v>
      </c>
      <c r="I18" s="2"/>
    </row>
    <row r="19" spans="1:9">
      <c r="A19" s="2" t="s">
        <v>63</v>
      </c>
      <c r="B19" s="4">
        <v>46269</v>
      </c>
      <c r="C19" s="4">
        <v>46275</v>
      </c>
      <c r="D19" s="2" t="s">
        <v>25</v>
      </c>
      <c r="E19" s="2" t="s">
        <v>35</v>
      </c>
      <c r="F19" s="2" t="s">
        <v>27</v>
      </c>
      <c r="G19" s="2" t="s">
        <v>28</v>
      </c>
      <c r="H19" s="2" t="s">
        <v>36</v>
      </c>
      <c r="I19" s="2"/>
    </row>
    <row r="20" spans="1:9">
      <c r="A20" s="2" t="s">
        <v>64</v>
      </c>
      <c r="B20" s="4">
        <v>46269</v>
      </c>
      <c r="C20" s="4">
        <v>46276</v>
      </c>
      <c r="D20" s="2" t="s">
        <v>25</v>
      </c>
      <c r="E20" s="2" t="s">
        <v>35</v>
      </c>
      <c r="F20" s="2" t="s">
        <v>41</v>
      </c>
      <c r="G20" s="2" t="s">
        <v>32</v>
      </c>
      <c r="H20" s="2" t="s">
        <v>44</v>
      </c>
      <c r="I20" s="2"/>
    </row>
    <row r="21" spans="1:9">
      <c r="A21" s="2" t="s">
        <v>65</v>
      </c>
      <c r="B21" s="4">
        <v>46269</v>
      </c>
      <c r="C21" s="4">
        <v>46271</v>
      </c>
      <c r="D21" s="2" t="s">
        <v>25</v>
      </c>
      <c r="E21" s="2" t="s">
        <v>43</v>
      </c>
      <c r="F21" s="2" t="s">
        <v>27</v>
      </c>
      <c r="G21" s="2" t="s">
        <v>28</v>
      </c>
      <c r="H21" s="2" t="s">
        <v>54</v>
      </c>
      <c r="I21" s="2"/>
    </row>
    <row r="22" spans="1:9">
      <c r="A22" s="2" t="s">
        <v>66</v>
      </c>
      <c r="B22" s="4">
        <v>46269</v>
      </c>
      <c r="C22" s="4">
        <v>46279</v>
      </c>
      <c r="D22" s="2" t="s">
        <v>25</v>
      </c>
      <c r="E22" s="2" t="s">
        <v>35</v>
      </c>
      <c r="F22" s="2" t="s">
        <v>41</v>
      </c>
      <c r="G22" s="2" t="s">
        <v>28</v>
      </c>
      <c r="H22" s="2" t="s">
        <v>44</v>
      </c>
      <c r="I22" s="2"/>
    </row>
    <row r="23" spans="1:9">
      <c r="A23" s="2" t="s">
        <v>67</v>
      </c>
      <c r="B23" s="4">
        <v>46269</v>
      </c>
      <c r="C23" s="4">
        <v>46278</v>
      </c>
      <c r="D23" s="2" t="s">
        <v>25</v>
      </c>
      <c r="E23" s="2" t="s">
        <v>35</v>
      </c>
      <c r="F23" s="2" t="s">
        <v>31</v>
      </c>
      <c r="G23" s="2" t="s">
        <v>32</v>
      </c>
      <c r="H23" s="2" t="s">
        <v>68</v>
      </c>
      <c r="I23" s="2"/>
    </row>
    <row r="24" spans="1:9">
      <c r="A24" s="2" t="s">
        <v>69</v>
      </c>
      <c r="B24" s="4">
        <v>46269</v>
      </c>
      <c r="C24" s="4">
        <v>46274</v>
      </c>
      <c r="D24" s="2" t="s">
        <v>25</v>
      </c>
      <c r="E24" s="2" t="s">
        <v>26</v>
      </c>
      <c r="F24" s="2" t="s">
        <v>47</v>
      </c>
      <c r="G24" s="2" t="s">
        <v>28</v>
      </c>
      <c r="H24" s="2" t="s">
        <v>48</v>
      </c>
      <c r="I24" s="2"/>
    </row>
    <row r="25" spans="1:9">
      <c r="A25" s="2" t="s">
        <v>70</v>
      </c>
      <c r="B25" s="4">
        <v>46270</v>
      </c>
      <c r="C25" s="4">
        <v>46279</v>
      </c>
      <c r="D25" s="2" t="s">
        <v>25</v>
      </c>
      <c r="E25" s="2" t="s">
        <v>35</v>
      </c>
      <c r="F25" s="2" t="s">
        <v>47</v>
      </c>
      <c r="G25" s="2" t="s">
        <v>28</v>
      </c>
      <c r="H25" s="2" t="s">
        <v>29</v>
      </c>
      <c r="I25" s="2"/>
    </row>
    <row r="26" spans="1:9">
      <c r="A26" s="2" t="s">
        <v>71</v>
      </c>
      <c r="B26" s="4">
        <v>46270</v>
      </c>
      <c r="C26" s="4">
        <v>46277</v>
      </c>
      <c r="D26" s="2" t="s">
        <v>25</v>
      </c>
      <c r="E26" s="2" t="s">
        <v>35</v>
      </c>
      <c r="F26" s="2" t="s">
        <v>31</v>
      </c>
      <c r="G26" s="2" t="s">
        <v>39</v>
      </c>
      <c r="H26" s="2" t="s">
        <v>44</v>
      </c>
      <c r="I26" s="2"/>
    </row>
    <row r="27" spans="1:9">
      <c r="A27" s="2" t="s">
        <v>72</v>
      </c>
      <c r="B27" s="4">
        <v>46270</v>
      </c>
      <c r="C27" s="4">
        <v>46278</v>
      </c>
      <c r="D27" s="2" t="s">
        <v>25</v>
      </c>
      <c r="E27" s="2" t="s">
        <v>26</v>
      </c>
      <c r="F27" s="2" t="s">
        <v>27</v>
      </c>
      <c r="G27" s="2" t="s">
        <v>32</v>
      </c>
      <c r="H27" s="2" t="s">
        <v>36</v>
      </c>
      <c r="I27" s="2" t="s">
        <v>55</v>
      </c>
    </row>
    <row r="28" spans="1:9">
      <c r="A28" s="2" t="s">
        <v>73</v>
      </c>
      <c r="B28" s="4">
        <v>46271</v>
      </c>
      <c r="C28" s="4">
        <v>46280</v>
      </c>
      <c r="D28" s="2" t="s">
        <v>25</v>
      </c>
      <c r="E28" s="2" t="s">
        <v>35</v>
      </c>
      <c r="F28" s="2" t="s">
        <v>47</v>
      </c>
      <c r="G28" s="2" t="s">
        <v>28</v>
      </c>
      <c r="H28" s="2" t="s">
        <v>48</v>
      </c>
      <c r="I28" s="2"/>
    </row>
    <row r="29" spans="1:9">
      <c r="A29" s="2" t="s">
        <v>74</v>
      </c>
      <c r="B29" s="4">
        <v>46271</v>
      </c>
      <c r="C29" s="4">
        <v>46280</v>
      </c>
      <c r="D29" s="2" t="s">
        <v>25</v>
      </c>
      <c r="E29" s="2" t="s">
        <v>35</v>
      </c>
      <c r="F29" s="2" t="s">
        <v>27</v>
      </c>
      <c r="G29" s="2" t="s">
        <v>39</v>
      </c>
      <c r="H29" s="2" t="s">
        <v>33</v>
      </c>
      <c r="I29" s="2"/>
    </row>
    <row r="30" spans="1:9">
      <c r="A30" s="2" t="s">
        <v>75</v>
      </c>
      <c r="B30" s="4">
        <v>46271</v>
      </c>
      <c r="C30" s="4">
        <v>46287</v>
      </c>
      <c r="D30" s="2" t="s">
        <v>25</v>
      </c>
      <c r="E30" s="2" t="s">
        <v>35</v>
      </c>
      <c r="F30" s="2" t="s">
        <v>31</v>
      </c>
      <c r="G30" s="2" t="s">
        <v>32</v>
      </c>
      <c r="H30" s="2" t="s">
        <v>29</v>
      </c>
      <c r="I30" s="2" t="s">
        <v>55</v>
      </c>
    </row>
    <row r="31" spans="1:9">
      <c r="A31" s="2" t="s">
        <v>76</v>
      </c>
      <c r="B31" s="4">
        <v>46271</v>
      </c>
      <c r="C31" s="4">
        <v>46277</v>
      </c>
      <c r="D31" s="2" t="s">
        <v>25</v>
      </c>
      <c r="E31" s="2" t="s">
        <v>26</v>
      </c>
      <c r="F31" s="2" t="s">
        <v>27</v>
      </c>
      <c r="G31" s="2" t="s">
        <v>32</v>
      </c>
      <c r="H31" s="2" t="s">
        <v>44</v>
      </c>
      <c r="I31" s="2" t="s">
        <v>77</v>
      </c>
    </row>
    <row r="32" spans="1:9">
      <c r="A32" s="2" t="s">
        <v>78</v>
      </c>
      <c r="B32" s="4">
        <v>46272</v>
      </c>
      <c r="C32" s="4">
        <v>46280</v>
      </c>
      <c r="D32" s="2" t="s">
        <v>25</v>
      </c>
      <c r="E32" s="2" t="s">
        <v>35</v>
      </c>
      <c r="F32" s="2" t="s">
        <v>41</v>
      </c>
      <c r="G32" s="2" t="s">
        <v>32</v>
      </c>
      <c r="H32" s="2" t="s">
        <v>36</v>
      </c>
      <c r="I32" s="2"/>
    </row>
    <row r="33" spans="1:9">
      <c r="A33" s="2" t="s">
        <v>79</v>
      </c>
      <c r="B33" s="4">
        <v>46272</v>
      </c>
      <c r="C33" s="4">
        <v>46278</v>
      </c>
      <c r="D33" s="2" t="s">
        <v>25</v>
      </c>
      <c r="E33" s="2" t="s">
        <v>35</v>
      </c>
      <c r="F33" s="2" t="s">
        <v>41</v>
      </c>
      <c r="G33" s="2" t="s">
        <v>28</v>
      </c>
      <c r="H33" s="2" t="s">
        <v>44</v>
      </c>
      <c r="I33" s="2"/>
    </row>
    <row r="34" spans="1:9">
      <c r="A34" s="2" t="s">
        <v>80</v>
      </c>
      <c r="B34" s="4">
        <v>46272</v>
      </c>
      <c r="C34" s="4">
        <v>46276</v>
      </c>
      <c r="D34" s="2" t="s">
        <v>25</v>
      </c>
      <c r="E34" s="2" t="s">
        <v>26</v>
      </c>
      <c r="F34" s="2" t="s">
        <v>41</v>
      </c>
      <c r="G34" s="2" t="s">
        <v>32</v>
      </c>
      <c r="H34" s="2" t="s">
        <v>48</v>
      </c>
      <c r="I34" s="2"/>
    </row>
    <row r="35" spans="1:9">
      <c r="A35" s="2" t="s">
        <v>81</v>
      </c>
      <c r="B35" s="4">
        <v>46272</v>
      </c>
      <c r="C35" s="4">
        <v>46277</v>
      </c>
      <c r="D35" s="2" t="s">
        <v>25</v>
      </c>
      <c r="E35" s="2" t="s">
        <v>26</v>
      </c>
      <c r="F35" s="2" t="s">
        <v>41</v>
      </c>
      <c r="G35" s="2" t="s">
        <v>39</v>
      </c>
      <c r="H35" s="2" t="s">
        <v>33</v>
      </c>
      <c r="I35" s="2"/>
    </row>
    <row r="36" spans="1:9">
      <c r="A36" s="2" t="s">
        <v>82</v>
      </c>
      <c r="B36" s="4">
        <v>46272</v>
      </c>
      <c r="C36" s="4">
        <v>46273</v>
      </c>
      <c r="D36" s="2" t="s">
        <v>25</v>
      </c>
      <c r="E36" s="2" t="s">
        <v>43</v>
      </c>
      <c r="F36" s="2" t="s">
        <v>27</v>
      </c>
      <c r="G36" s="2" t="s">
        <v>32</v>
      </c>
      <c r="H36" s="2" t="s">
        <v>44</v>
      </c>
      <c r="I36" s="2"/>
    </row>
    <row r="37" spans="1:9">
      <c r="A37" s="2" t="s">
        <v>83</v>
      </c>
      <c r="B37" s="4">
        <v>46272</v>
      </c>
      <c r="C37" s="4">
        <v>46273</v>
      </c>
      <c r="D37" s="2" t="s">
        <v>25</v>
      </c>
      <c r="E37" s="2" t="s">
        <v>43</v>
      </c>
      <c r="F37" s="2" t="s">
        <v>31</v>
      </c>
      <c r="G37" s="2" t="s">
        <v>28</v>
      </c>
      <c r="H37" s="2" t="s">
        <v>36</v>
      </c>
      <c r="I37" s="2"/>
    </row>
    <row r="38" spans="1:9">
      <c r="A38" s="2" t="s">
        <v>84</v>
      </c>
      <c r="B38" s="4">
        <v>46273</v>
      </c>
      <c r="C38" s="4">
        <v>46288</v>
      </c>
      <c r="D38" s="2" t="s">
        <v>25</v>
      </c>
      <c r="E38" s="2" t="s">
        <v>35</v>
      </c>
      <c r="F38" s="2" t="s">
        <v>27</v>
      </c>
      <c r="G38" s="2" t="s">
        <v>39</v>
      </c>
      <c r="H38" s="2" t="s">
        <v>29</v>
      </c>
      <c r="I38" s="2" t="s">
        <v>85</v>
      </c>
    </row>
    <row r="39" spans="1:9">
      <c r="A39" s="2" t="s">
        <v>86</v>
      </c>
      <c r="B39" s="4">
        <v>46273</v>
      </c>
      <c r="C39" s="4">
        <v>46280</v>
      </c>
      <c r="D39" s="2" t="s">
        <v>25</v>
      </c>
      <c r="E39" s="2" t="s">
        <v>35</v>
      </c>
      <c r="F39" s="2" t="s">
        <v>27</v>
      </c>
      <c r="G39" s="2" t="s">
        <v>39</v>
      </c>
      <c r="H39" s="2" t="s">
        <v>54</v>
      </c>
      <c r="I39" s="2"/>
    </row>
    <row r="40" spans="1:9">
      <c r="A40" s="2" t="s">
        <v>87</v>
      </c>
      <c r="B40" s="4">
        <v>46273</v>
      </c>
      <c r="C40" s="4">
        <v>46277</v>
      </c>
      <c r="D40" s="2" t="s">
        <v>25</v>
      </c>
      <c r="E40" s="2" t="s">
        <v>26</v>
      </c>
      <c r="F40" s="2" t="s">
        <v>41</v>
      </c>
      <c r="G40" s="2" t="s">
        <v>32</v>
      </c>
      <c r="H40" s="2" t="s">
        <v>48</v>
      </c>
      <c r="I40" s="2"/>
    </row>
    <row r="41" spans="1:9">
      <c r="A41" s="2" t="s">
        <v>88</v>
      </c>
      <c r="B41" s="4">
        <v>46273</v>
      </c>
      <c r="C41" s="4">
        <v>46273</v>
      </c>
      <c r="D41" s="2" t="s">
        <v>25</v>
      </c>
      <c r="E41" s="2" t="s">
        <v>43</v>
      </c>
      <c r="F41" s="2" t="s">
        <v>31</v>
      </c>
      <c r="G41" s="2" t="s">
        <v>32</v>
      </c>
      <c r="H41" s="2" t="s">
        <v>29</v>
      </c>
      <c r="I41" s="2"/>
    </row>
    <row r="42" spans="1:9">
      <c r="A42" s="2" t="s">
        <v>89</v>
      </c>
      <c r="B42" s="4">
        <v>46273</v>
      </c>
      <c r="C42" s="4">
        <v>46276</v>
      </c>
      <c r="D42" s="2" t="s">
        <v>25</v>
      </c>
      <c r="E42" s="2" t="s">
        <v>26</v>
      </c>
      <c r="F42" s="2" t="s">
        <v>41</v>
      </c>
      <c r="G42" s="2" t="s">
        <v>39</v>
      </c>
      <c r="H42" s="2" t="s">
        <v>48</v>
      </c>
      <c r="I42" s="2"/>
    </row>
    <row r="43" spans="1:9">
      <c r="A43" s="2" t="s">
        <v>89</v>
      </c>
      <c r="B43" s="4">
        <v>46273</v>
      </c>
      <c r="C43" s="4">
        <v>46276</v>
      </c>
      <c r="D43" s="2" t="s">
        <v>25</v>
      </c>
      <c r="E43" s="2" t="s">
        <v>26</v>
      </c>
      <c r="F43" s="2" t="s">
        <v>41</v>
      </c>
      <c r="G43" s="2" t="s">
        <v>39</v>
      </c>
      <c r="H43" s="2" t="s">
        <v>48</v>
      </c>
      <c r="I43" s="2"/>
    </row>
    <row r="44" spans="1:9">
      <c r="A44" s="2" t="s">
        <v>90</v>
      </c>
      <c r="B44" s="4">
        <v>46273</v>
      </c>
      <c r="C44" s="4">
        <v>46274</v>
      </c>
      <c r="D44" s="2" t="s">
        <v>25</v>
      </c>
      <c r="E44" s="2" t="s">
        <v>43</v>
      </c>
      <c r="F44" s="2" t="s">
        <v>38</v>
      </c>
      <c r="G44" s="2" t="s">
        <v>28</v>
      </c>
      <c r="H44" s="2" t="s">
        <v>44</v>
      </c>
      <c r="I44" s="2"/>
    </row>
    <row r="45" spans="1:9">
      <c r="A45" s="2" t="s">
        <v>91</v>
      </c>
      <c r="B45" s="4">
        <v>46273</v>
      </c>
      <c r="C45" s="4">
        <v>46275</v>
      </c>
      <c r="D45" s="2" t="s">
        <v>25</v>
      </c>
      <c r="E45" s="2" t="s">
        <v>26</v>
      </c>
      <c r="F45" s="2" t="s">
        <v>47</v>
      </c>
      <c r="G45" s="2" t="s">
        <v>32</v>
      </c>
      <c r="H45" s="2" t="s">
        <v>44</v>
      </c>
      <c r="I45" s="2"/>
    </row>
    <row r="46" spans="1:9">
      <c r="A46" s="2" t="s">
        <v>92</v>
      </c>
      <c r="B46" s="4">
        <v>46273</v>
      </c>
      <c r="C46" s="4">
        <v>46282</v>
      </c>
      <c r="D46" s="2" t="s">
        <v>25</v>
      </c>
      <c r="E46" s="2" t="s">
        <v>35</v>
      </c>
      <c r="F46" s="2" t="s">
        <v>47</v>
      </c>
      <c r="G46" s="2" t="s">
        <v>32</v>
      </c>
      <c r="H46" s="2" t="s">
        <v>33</v>
      </c>
      <c r="I46" s="2"/>
    </row>
    <row r="47" spans="1:9">
      <c r="A47" s="2" t="s">
        <v>93</v>
      </c>
      <c r="B47" s="4">
        <v>46273</v>
      </c>
      <c r="C47" s="4">
        <v>46280</v>
      </c>
      <c r="D47" s="2" t="s">
        <v>25</v>
      </c>
      <c r="E47" s="2" t="s">
        <v>35</v>
      </c>
      <c r="F47" s="2" t="s">
        <v>38</v>
      </c>
      <c r="G47" s="2" t="s">
        <v>28</v>
      </c>
      <c r="H47" s="2" t="s">
        <v>48</v>
      </c>
      <c r="I47" s="2"/>
    </row>
    <row r="48" spans="1:9">
      <c r="A48" s="2" t="s">
        <v>94</v>
      </c>
      <c r="B48" s="4">
        <v>46273</v>
      </c>
      <c r="C48" s="4">
        <v>46283</v>
      </c>
      <c r="D48" s="2" t="s">
        <v>25</v>
      </c>
      <c r="E48" s="2" t="s">
        <v>26</v>
      </c>
      <c r="F48" s="2" t="s">
        <v>41</v>
      </c>
      <c r="G48" s="2" t="s">
        <v>39</v>
      </c>
      <c r="H48" s="2" t="s">
        <v>48</v>
      </c>
      <c r="I48" s="2" t="s">
        <v>52</v>
      </c>
    </row>
    <row r="49" spans="1:9">
      <c r="A49" s="2" t="s">
        <v>95</v>
      </c>
      <c r="B49" s="4">
        <v>46274</v>
      </c>
      <c r="C49" s="4">
        <v>46283</v>
      </c>
      <c r="D49" s="2" t="s">
        <v>25</v>
      </c>
      <c r="E49" s="2" t="s">
        <v>26</v>
      </c>
      <c r="F49" s="2" t="s">
        <v>38</v>
      </c>
      <c r="G49" s="2" t="s">
        <v>39</v>
      </c>
      <c r="H49" s="2" t="s">
        <v>48</v>
      </c>
      <c r="I49" s="2" t="s">
        <v>55</v>
      </c>
    </row>
    <row r="50" spans="1:9">
      <c r="A50" s="2" t="s">
        <v>96</v>
      </c>
      <c r="B50" s="4">
        <v>46274</v>
      </c>
      <c r="C50" s="4">
        <v>46280</v>
      </c>
      <c r="D50" s="2" t="s">
        <v>25</v>
      </c>
      <c r="E50" s="2" t="s">
        <v>35</v>
      </c>
      <c r="F50" s="2" t="s">
        <v>38</v>
      </c>
      <c r="G50" s="2" t="s">
        <v>39</v>
      </c>
      <c r="H50" s="2" t="s">
        <v>54</v>
      </c>
      <c r="I50" s="2"/>
    </row>
    <row r="51" spans="1:9">
      <c r="A51" s="2" t="s">
        <v>97</v>
      </c>
      <c r="B51" s="4">
        <v>46274</v>
      </c>
      <c r="C51" s="4">
        <v>46286</v>
      </c>
      <c r="D51" s="2" t="s">
        <v>25</v>
      </c>
      <c r="E51" s="2" t="s">
        <v>35</v>
      </c>
      <c r="F51" s="2" t="s">
        <v>31</v>
      </c>
      <c r="G51" s="2" t="s">
        <v>32</v>
      </c>
      <c r="H51" s="2" t="s">
        <v>29</v>
      </c>
      <c r="I51" s="2" t="s">
        <v>98</v>
      </c>
    </row>
    <row r="52" spans="1:9">
      <c r="A52" s="2" t="s">
        <v>99</v>
      </c>
      <c r="B52" s="4">
        <v>46274</v>
      </c>
      <c r="C52" s="4">
        <v>46274</v>
      </c>
      <c r="D52" s="2" t="s">
        <v>25</v>
      </c>
      <c r="E52" s="2" t="s">
        <v>43</v>
      </c>
      <c r="F52" s="2" t="s">
        <v>31</v>
      </c>
      <c r="G52" s="2" t="s">
        <v>39</v>
      </c>
      <c r="H52" s="2" t="s">
        <v>54</v>
      </c>
      <c r="I52" s="2"/>
    </row>
    <row r="53" spans="1:9">
      <c r="A53" s="2" t="s">
        <v>100</v>
      </c>
      <c r="B53" s="4">
        <v>46274</v>
      </c>
      <c r="C53" s="4">
        <v>46275</v>
      </c>
      <c r="D53" s="2" t="s">
        <v>25</v>
      </c>
      <c r="E53" s="2" t="s">
        <v>26</v>
      </c>
      <c r="F53" s="2" t="s">
        <v>41</v>
      </c>
      <c r="G53" s="2" t="s">
        <v>39</v>
      </c>
      <c r="H53" s="2" t="s">
        <v>54</v>
      </c>
      <c r="I53" s="2"/>
    </row>
    <row r="54" spans="1:9">
      <c r="A54" s="2" t="s">
        <v>101</v>
      </c>
      <c r="B54" s="4">
        <v>46274</v>
      </c>
      <c r="C54" s="4">
        <v>46286</v>
      </c>
      <c r="D54" s="2" t="s">
        <v>25</v>
      </c>
      <c r="E54" s="2" t="s">
        <v>35</v>
      </c>
      <c r="F54" s="2" t="s">
        <v>27</v>
      </c>
      <c r="G54" s="2" t="s">
        <v>39</v>
      </c>
      <c r="H54" s="2" t="s">
        <v>48</v>
      </c>
      <c r="I54" s="2" t="s">
        <v>55</v>
      </c>
    </row>
    <row r="55" spans="1:9">
      <c r="A55" s="2" t="s">
        <v>102</v>
      </c>
      <c r="B55" s="4">
        <v>46274</v>
      </c>
      <c r="C55" s="4">
        <v>46285</v>
      </c>
      <c r="D55" s="2" t="s">
        <v>25</v>
      </c>
      <c r="E55" s="2" t="s">
        <v>35</v>
      </c>
      <c r="F55" s="2" t="s">
        <v>47</v>
      </c>
      <c r="G55" s="2" t="s">
        <v>32</v>
      </c>
      <c r="H55" s="2" t="s">
        <v>33</v>
      </c>
      <c r="I55" s="2" t="s">
        <v>55</v>
      </c>
    </row>
    <row r="56" spans="1:9">
      <c r="A56" s="2" t="s">
        <v>103</v>
      </c>
      <c r="B56" s="4">
        <v>46274</v>
      </c>
      <c r="C56" s="4">
        <v>46275</v>
      </c>
      <c r="D56" s="2" t="s">
        <v>25</v>
      </c>
      <c r="E56" s="2" t="s">
        <v>43</v>
      </c>
      <c r="F56" s="2" t="s">
        <v>41</v>
      </c>
      <c r="G56" s="2" t="s">
        <v>28</v>
      </c>
      <c r="H56" s="2" t="s">
        <v>44</v>
      </c>
      <c r="I56" s="2"/>
    </row>
    <row r="57" spans="1:9">
      <c r="A57" s="2" t="s">
        <v>104</v>
      </c>
      <c r="B57" s="4">
        <v>46274</v>
      </c>
      <c r="C57" s="4">
        <v>46280</v>
      </c>
      <c r="D57" s="2" t="s">
        <v>25</v>
      </c>
      <c r="E57" s="2" t="s">
        <v>35</v>
      </c>
      <c r="F57" s="2" t="s">
        <v>31</v>
      </c>
      <c r="G57" s="2" t="s">
        <v>32</v>
      </c>
      <c r="H57" s="2" t="s">
        <v>44</v>
      </c>
      <c r="I57" s="2"/>
    </row>
    <row r="58" spans="1:9">
      <c r="A58" s="2" t="s">
        <v>105</v>
      </c>
      <c r="B58" s="4">
        <v>46275</v>
      </c>
      <c r="C58" s="4">
        <v>46280</v>
      </c>
      <c r="D58" s="2" t="s">
        <v>25</v>
      </c>
      <c r="E58" s="2" t="s">
        <v>26</v>
      </c>
      <c r="F58" s="2" t="s">
        <v>41</v>
      </c>
      <c r="G58" s="2" t="s">
        <v>32</v>
      </c>
      <c r="H58" s="2" t="s">
        <v>33</v>
      </c>
      <c r="I58" s="2"/>
    </row>
    <row r="59" spans="1:9">
      <c r="A59" s="2" t="s">
        <v>106</v>
      </c>
      <c r="B59" s="4">
        <v>46275</v>
      </c>
      <c r="C59" s="4">
        <v>46283</v>
      </c>
      <c r="D59" s="2" t="s">
        <v>25</v>
      </c>
      <c r="E59" s="2" t="s">
        <v>35</v>
      </c>
      <c r="F59" s="2" t="s">
        <v>41</v>
      </c>
      <c r="G59" s="2" t="s">
        <v>39</v>
      </c>
      <c r="H59" s="2" t="s">
        <v>44</v>
      </c>
      <c r="I59" s="2"/>
    </row>
    <row r="60" spans="1:9">
      <c r="A60" s="2" t="s">
        <v>107</v>
      </c>
      <c r="B60" s="4">
        <v>46276</v>
      </c>
      <c r="C60" s="4">
        <v>46286</v>
      </c>
      <c r="D60" s="2" t="s">
        <v>25</v>
      </c>
      <c r="E60" s="2" t="s">
        <v>35</v>
      </c>
      <c r="F60" s="2" t="s">
        <v>41</v>
      </c>
      <c r="G60" s="2" t="s">
        <v>32</v>
      </c>
      <c r="H60" s="2" t="s">
        <v>44</v>
      </c>
      <c r="I60" s="2"/>
    </row>
    <row r="61" spans="1:9">
      <c r="A61" s="2" t="s">
        <v>108</v>
      </c>
      <c r="B61" s="4">
        <v>46277</v>
      </c>
      <c r="C61" s="4">
        <v>46278</v>
      </c>
      <c r="D61" s="2" t="s">
        <v>25</v>
      </c>
      <c r="E61" s="2" t="s">
        <v>43</v>
      </c>
      <c r="F61" s="2" t="s">
        <v>41</v>
      </c>
      <c r="G61" s="2" t="s">
        <v>39</v>
      </c>
      <c r="H61" s="2" t="s">
        <v>33</v>
      </c>
      <c r="I61" s="2"/>
    </row>
    <row r="62" spans="1:9">
      <c r="A62" s="2" t="s">
        <v>109</v>
      </c>
      <c r="B62" s="4">
        <v>46277</v>
      </c>
      <c r="C62" s="4">
        <v>46280</v>
      </c>
      <c r="D62" s="2" t="s">
        <v>25</v>
      </c>
      <c r="E62" s="2" t="s">
        <v>26</v>
      </c>
      <c r="F62" s="2" t="s">
        <v>47</v>
      </c>
      <c r="G62" s="2" t="s">
        <v>39</v>
      </c>
      <c r="H62" s="2" t="s">
        <v>29</v>
      </c>
      <c r="I62" s="2"/>
    </row>
    <row r="63" spans="1:9">
      <c r="A63" s="2" t="s">
        <v>110</v>
      </c>
      <c r="B63" s="4">
        <v>46277</v>
      </c>
      <c r="C63" s="4">
        <v>46279</v>
      </c>
      <c r="D63" s="2" t="s">
        <v>25</v>
      </c>
      <c r="E63" s="2" t="s">
        <v>26</v>
      </c>
      <c r="F63" s="2" t="s">
        <v>27</v>
      </c>
      <c r="G63" s="2" t="s">
        <v>28</v>
      </c>
      <c r="H63" s="2" t="s">
        <v>48</v>
      </c>
      <c r="I63" s="2"/>
    </row>
    <row r="64" spans="1:9">
      <c r="A64" s="2" t="s">
        <v>111</v>
      </c>
      <c r="B64" s="4">
        <v>46277</v>
      </c>
      <c r="C64" s="4">
        <v>46277</v>
      </c>
      <c r="D64" s="2" t="s">
        <v>25</v>
      </c>
      <c r="E64" s="2" t="s">
        <v>43</v>
      </c>
      <c r="F64" s="2" t="s">
        <v>41</v>
      </c>
      <c r="G64" s="2" t="s">
        <v>28</v>
      </c>
      <c r="H64" s="2" t="s">
        <v>36</v>
      </c>
      <c r="I64" s="2"/>
    </row>
    <row r="65" spans="1:9">
      <c r="A65" s="2" t="s">
        <v>112</v>
      </c>
      <c r="B65" s="4">
        <v>46277</v>
      </c>
      <c r="C65" s="4">
        <v>46283</v>
      </c>
      <c r="D65" s="2" t="s">
        <v>25</v>
      </c>
      <c r="E65" s="2" t="s">
        <v>113</v>
      </c>
      <c r="F65" s="2" t="s">
        <v>27</v>
      </c>
      <c r="G65" s="2" t="s">
        <v>28</v>
      </c>
      <c r="H65" s="2" t="s">
        <v>29</v>
      </c>
      <c r="I65" s="2"/>
    </row>
    <row r="66" spans="1:9">
      <c r="A66" s="2" t="s">
        <v>114</v>
      </c>
      <c r="B66" s="4">
        <v>46277</v>
      </c>
      <c r="C66" s="4">
        <v>46286</v>
      </c>
      <c r="D66" s="2" t="s">
        <v>25</v>
      </c>
      <c r="E66" s="2" t="s">
        <v>35</v>
      </c>
      <c r="F66" s="2" t="s">
        <v>47</v>
      </c>
      <c r="G66" s="2" t="s">
        <v>39</v>
      </c>
      <c r="H66" s="2" t="s">
        <v>54</v>
      </c>
      <c r="I66" s="2"/>
    </row>
    <row r="67" spans="1:9">
      <c r="A67" s="2" t="s">
        <v>115</v>
      </c>
      <c r="B67" s="4">
        <v>46278</v>
      </c>
      <c r="C67" s="4">
        <v>46283</v>
      </c>
      <c r="D67" s="2" t="s">
        <v>25</v>
      </c>
      <c r="E67" s="2" t="s">
        <v>26</v>
      </c>
      <c r="F67" s="2" t="s">
        <v>41</v>
      </c>
      <c r="G67" s="2" t="s">
        <v>39</v>
      </c>
      <c r="H67" s="2" t="s">
        <v>29</v>
      </c>
      <c r="I67" s="2"/>
    </row>
    <row r="68" spans="1:9">
      <c r="A68" s="2" t="s">
        <v>116</v>
      </c>
      <c r="B68" s="4">
        <v>46278</v>
      </c>
      <c r="C68" s="4">
        <v>46282</v>
      </c>
      <c r="D68" s="2" t="s">
        <v>25</v>
      </c>
      <c r="E68" s="2" t="s">
        <v>43</v>
      </c>
      <c r="F68" s="2" t="s">
        <v>38</v>
      </c>
      <c r="G68" s="2" t="s">
        <v>32</v>
      </c>
      <c r="H68" s="2" t="s">
        <v>36</v>
      </c>
      <c r="I68" s="2" t="s">
        <v>52</v>
      </c>
    </row>
    <row r="69" spans="1:9">
      <c r="A69" s="2" t="s">
        <v>117</v>
      </c>
      <c r="B69" s="4">
        <v>46278</v>
      </c>
      <c r="C69" s="4">
        <v>46287</v>
      </c>
      <c r="D69" s="2" t="s">
        <v>25</v>
      </c>
      <c r="E69" s="2" t="s">
        <v>35</v>
      </c>
      <c r="F69" s="2" t="s">
        <v>47</v>
      </c>
      <c r="G69" s="2" t="s">
        <v>28</v>
      </c>
      <c r="H69" s="2" t="s">
        <v>48</v>
      </c>
      <c r="I69" s="2"/>
    </row>
    <row r="70" spans="1:9">
      <c r="A70" s="2" t="s">
        <v>118</v>
      </c>
      <c r="B70" s="4">
        <v>46279</v>
      </c>
      <c r="C70" s="4">
        <v>46286</v>
      </c>
      <c r="D70" s="2" t="s">
        <v>25</v>
      </c>
      <c r="E70" s="2" t="s">
        <v>35</v>
      </c>
      <c r="F70" s="2" t="s">
        <v>38</v>
      </c>
      <c r="G70" s="2" t="s">
        <v>39</v>
      </c>
      <c r="H70" s="2" t="s">
        <v>44</v>
      </c>
      <c r="I70" s="2"/>
    </row>
    <row r="71" spans="1:9">
      <c r="A71" s="2" t="s">
        <v>119</v>
      </c>
      <c r="B71" s="4">
        <v>46279</v>
      </c>
      <c r="C71" s="4">
        <v>46280</v>
      </c>
      <c r="D71" s="2" t="s">
        <v>25</v>
      </c>
      <c r="E71" s="2" t="s">
        <v>26</v>
      </c>
      <c r="F71" s="2" t="s">
        <v>31</v>
      </c>
      <c r="G71" s="2" t="s">
        <v>39</v>
      </c>
      <c r="H71" s="2" t="s">
        <v>36</v>
      </c>
      <c r="I71" s="2"/>
    </row>
    <row r="72" spans="1:9">
      <c r="A72" s="2" t="s">
        <v>120</v>
      </c>
      <c r="B72" s="4">
        <v>46279</v>
      </c>
      <c r="C72" s="4">
        <v>46286</v>
      </c>
      <c r="D72" s="2" t="s">
        <v>25</v>
      </c>
      <c r="E72" s="2" t="s">
        <v>35</v>
      </c>
      <c r="F72" s="2" t="s">
        <v>41</v>
      </c>
      <c r="G72" s="2" t="s">
        <v>28</v>
      </c>
      <c r="H72" s="2" t="s">
        <v>44</v>
      </c>
      <c r="I72" s="2"/>
    </row>
    <row r="73" spans="1:9">
      <c r="A73" s="2" t="s">
        <v>121</v>
      </c>
      <c r="B73" s="4">
        <v>46279</v>
      </c>
      <c r="C73" s="4">
        <v>46288</v>
      </c>
      <c r="D73" s="2" t="s">
        <v>25</v>
      </c>
      <c r="E73" s="2" t="s">
        <v>35</v>
      </c>
      <c r="F73" s="2" t="s">
        <v>27</v>
      </c>
      <c r="G73" s="2" t="s">
        <v>32</v>
      </c>
      <c r="H73" s="2" t="s">
        <v>54</v>
      </c>
      <c r="I73" s="2"/>
    </row>
    <row r="74" spans="1:9">
      <c r="A74" s="2" t="s">
        <v>122</v>
      </c>
      <c r="B74" s="4">
        <v>46279</v>
      </c>
      <c r="C74" s="4">
        <v>46285</v>
      </c>
      <c r="D74" s="2" t="s">
        <v>25</v>
      </c>
      <c r="E74" s="2" t="s">
        <v>43</v>
      </c>
      <c r="F74" s="2" t="s">
        <v>31</v>
      </c>
      <c r="G74" s="2" t="s">
        <v>28</v>
      </c>
      <c r="H74" s="2" t="s">
        <v>48</v>
      </c>
      <c r="I74" s="2" t="s">
        <v>55</v>
      </c>
    </row>
    <row r="75" spans="1:9">
      <c r="A75" s="2" t="s">
        <v>123</v>
      </c>
      <c r="B75" s="4">
        <v>46280</v>
      </c>
      <c r="C75" s="4">
        <v>46289</v>
      </c>
      <c r="D75" s="2" t="s">
        <v>25</v>
      </c>
      <c r="E75" s="2" t="s">
        <v>35</v>
      </c>
      <c r="F75" s="2" t="s">
        <v>41</v>
      </c>
      <c r="G75" s="2" t="s">
        <v>28</v>
      </c>
      <c r="H75" s="2" t="s">
        <v>54</v>
      </c>
      <c r="I75" s="2"/>
    </row>
    <row r="76" spans="1:9">
      <c r="A76" s="2" t="s">
        <v>124</v>
      </c>
      <c r="B76" s="4">
        <v>46280</v>
      </c>
      <c r="C76" s="4">
        <v>46294</v>
      </c>
      <c r="D76" s="2" t="s">
        <v>25</v>
      </c>
      <c r="E76" s="2" t="s">
        <v>35</v>
      </c>
      <c r="F76" s="2" t="s">
        <v>27</v>
      </c>
      <c r="G76" s="2" t="s">
        <v>28</v>
      </c>
      <c r="H76" s="2" t="s">
        <v>29</v>
      </c>
      <c r="I76" s="2" t="s">
        <v>52</v>
      </c>
    </row>
    <row r="77" spans="1:9">
      <c r="A77" s="2" t="s">
        <v>125</v>
      </c>
      <c r="B77" s="4">
        <v>46280</v>
      </c>
      <c r="C77" s="4">
        <v>46283</v>
      </c>
      <c r="D77" s="2" t="s">
        <v>25</v>
      </c>
      <c r="E77" s="2" t="s">
        <v>26</v>
      </c>
      <c r="F77" s="2" t="s">
        <v>47</v>
      </c>
      <c r="G77" s="2" t="s">
        <v>32</v>
      </c>
      <c r="H77" s="2" t="s">
        <v>126</v>
      </c>
      <c r="I77" s="2"/>
    </row>
    <row r="78" spans="1:9">
      <c r="A78" s="2" t="s">
        <v>127</v>
      </c>
      <c r="B78" s="4">
        <v>46280</v>
      </c>
      <c r="C78" s="4">
        <v>46290</v>
      </c>
      <c r="D78" s="2" t="s">
        <v>25</v>
      </c>
      <c r="E78" s="2" t="s">
        <v>35</v>
      </c>
      <c r="F78" s="2" t="s">
        <v>31</v>
      </c>
      <c r="G78" s="2" t="s">
        <v>39</v>
      </c>
      <c r="H78" s="2" t="s">
        <v>48</v>
      </c>
      <c r="I78" s="2"/>
    </row>
    <row r="79" spans="1:9">
      <c r="A79" s="2" t="s">
        <v>128</v>
      </c>
      <c r="B79" s="4">
        <v>46280</v>
      </c>
      <c r="C79" s="4">
        <v>46290</v>
      </c>
      <c r="D79" s="2" t="s">
        <v>25</v>
      </c>
      <c r="E79" s="2" t="s">
        <v>35</v>
      </c>
      <c r="F79" s="2" t="s">
        <v>27</v>
      </c>
      <c r="G79" s="2" t="s">
        <v>28</v>
      </c>
      <c r="H79" s="2" t="s">
        <v>36</v>
      </c>
      <c r="I79" s="2"/>
    </row>
    <row r="80" spans="1:9">
      <c r="A80" s="2" t="s">
        <v>129</v>
      </c>
      <c r="B80" s="4">
        <v>46281</v>
      </c>
      <c r="C80" s="4">
        <v>46290</v>
      </c>
      <c r="D80" s="2" t="s">
        <v>25</v>
      </c>
      <c r="E80" s="2" t="s">
        <v>35</v>
      </c>
      <c r="F80" s="2" t="s">
        <v>38</v>
      </c>
      <c r="G80" s="2" t="s">
        <v>32</v>
      </c>
      <c r="H80" s="2" t="s">
        <v>48</v>
      </c>
      <c r="I80" s="2"/>
    </row>
    <row r="81" spans="1:9">
      <c r="A81" s="2" t="s">
        <v>130</v>
      </c>
      <c r="B81" s="4">
        <v>46281</v>
      </c>
      <c r="C81" s="4">
        <v>46288</v>
      </c>
      <c r="D81" s="2" t="s">
        <v>25</v>
      </c>
      <c r="E81" s="2" t="s">
        <v>35</v>
      </c>
      <c r="F81" s="2" t="s">
        <v>41</v>
      </c>
      <c r="G81" s="2" t="s">
        <v>39</v>
      </c>
      <c r="H81" s="2" t="s">
        <v>44</v>
      </c>
      <c r="I81" s="2"/>
    </row>
    <row r="82" spans="1:9">
      <c r="A82" s="2" t="s">
        <v>131</v>
      </c>
      <c r="B82" s="4">
        <v>46282</v>
      </c>
      <c r="C82" s="4">
        <v>46284</v>
      </c>
      <c r="D82" s="2" t="s">
        <v>25</v>
      </c>
      <c r="E82" s="2" t="s">
        <v>43</v>
      </c>
      <c r="F82" s="2" t="s">
        <v>27</v>
      </c>
      <c r="G82" s="2" t="s">
        <v>39</v>
      </c>
      <c r="H82" s="2" t="s">
        <v>29</v>
      </c>
      <c r="I82" s="2"/>
    </row>
    <row r="83" spans="1:9">
      <c r="A83" s="2" t="s">
        <v>132</v>
      </c>
      <c r="B83" s="4">
        <v>46282</v>
      </c>
      <c r="C83" s="4">
        <v>46292</v>
      </c>
      <c r="D83" s="2" t="s">
        <v>25</v>
      </c>
      <c r="E83" s="2" t="s">
        <v>35</v>
      </c>
      <c r="F83" s="2" t="s">
        <v>27</v>
      </c>
      <c r="G83" s="2" t="s">
        <v>39</v>
      </c>
      <c r="H83" s="2" t="s">
        <v>33</v>
      </c>
      <c r="I83" s="2"/>
    </row>
    <row r="84" spans="1:9">
      <c r="A84" s="2" t="s">
        <v>133</v>
      </c>
      <c r="B84" s="4">
        <v>46282</v>
      </c>
      <c r="C84" s="4">
        <v>46290</v>
      </c>
      <c r="D84" s="2" t="s">
        <v>25</v>
      </c>
      <c r="E84" s="2" t="s">
        <v>35</v>
      </c>
      <c r="F84" s="2" t="s">
        <v>41</v>
      </c>
      <c r="G84" s="2" t="s">
        <v>39</v>
      </c>
      <c r="H84" s="2" t="s">
        <v>44</v>
      </c>
      <c r="I84" s="2"/>
    </row>
    <row r="85" spans="1:9">
      <c r="A85" s="2" t="s">
        <v>134</v>
      </c>
      <c r="B85" s="4">
        <v>46282</v>
      </c>
      <c r="C85" s="4">
        <v>46294</v>
      </c>
      <c r="D85" s="2" t="s">
        <v>25</v>
      </c>
      <c r="E85" s="2" t="s">
        <v>35</v>
      </c>
      <c r="F85" s="2" t="s">
        <v>47</v>
      </c>
      <c r="G85" s="2" t="s">
        <v>39</v>
      </c>
      <c r="H85" s="2" t="s">
        <v>48</v>
      </c>
      <c r="I85" s="2" t="s">
        <v>52</v>
      </c>
    </row>
    <row r="86" spans="1:9">
      <c r="A86" s="2" t="s">
        <v>135</v>
      </c>
      <c r="B86" s="4">
        <v>46282</v>
      </c>
      <c r="C86" s="4">
        <v>46286</v>
      </c>
      <c r="D86" s="2" t="s">
        <v>25</v>
      </c>
      <c r="E86" s="2" t="s">
        <v>26</v>
      </c>
      <c r="F86" s="2" t="s">
        <v>41</v>
      </c>
      <c r="G86" s="2" t="s">
        <v>32</v>
      </c>
      <c r="H86" s="2" t="s">
        <v>54</v>
      </c>
      <c r="I86" s="2"/>
    </row>
    <row r="87" spans="1:9">
      <c r="A87" s="2" t="s">
        <v>136</v>
      </c>
      <c r="B87" s="4">
        <v>46282</v>
      </c>
      <c r="C87" s="4">
        <v>46282</v>
      </c>
      <c r="D87" s="2" t="s">
        <v>25</v>
      </c>
      <c r="E87" s="2" t="s">
        <v>43</v>
      </c>
      <c r="F87" s="2" t="s">
        <v>47</v>
      </c>
      <c r="G87" s="2" t="s">
        <v>39</v>
      </c>
      <c r="H87" s="2" t="s">
        <v>44</v>
      </c>
      <c r="I87" s="2"/>
    </row>
    <row r="88" spans="1:9">
      <c r="A88" s="2" t="s">
        <v>137</v>
      </c>
      <c r="B88" s="4">
        <v>46283</v>
      </c>
      <c r="C88" s="4">
        <v>46293</v>
      </c>
      <c r="D88" s="2" t="s">
        <v>25</v>
      </c>
      <c r="E88" s="2" t="s">
        <v>35</v>
      </c>
      <c r="F88" s="2" t="s">
        <v>41</v>
      </c>
      <c r="G88" s="2" t="s">
        <v>32</v>
      </c>
      <c r="H88" s="2" t="s">
        <v>33</v>
      </c>
      <c r="I88" s="2"/>
    </row>
    <row r="89" spans="1:9">
      <c r="A89" s="2" t="s">
        <v>138</v>
      </c>
      <c r="B89" s="4">
        <v>46283</v>
      </c>
      <c r="C89" s="4">
        <v>46288</v>
      </c>
      <c r="D89" s="2" t="s">
        <v>25</v>
      </c>
      <c r="E89" s="2" t="s">
        <v>26</v>
      </c>
      <c r="F89" s="2" t="s">
        <v>41</v>
      </c>
      <c r="G89" s="2" t="s">
        <v>39</v>
      </c>
      <c r="H89" s="2" t="s">
        <v>54</v>
      </c>
      <c r="I89" s="2"/>
    </row>
    <row r="90" spans="1:9">
      <c r="A90" s="2" t="s">
        <v>139</v>
      </c>
      <c r="B90" s="4">
        <v>46283</v>
      </c>
      <c r="C90" s="4">
        <v>46289</v>
      </c>
      <c r="D90" s="2" t="s">
        <v>25</v>
      </c>
      <c r="E90" s="2" t="s">
        <v>26</v>
      </c>
      <c r="F90" s="2" t="s">
        <v>47</v>
      </c>
      <c r="G90" s="2" t="s">
        <v>39</v>
      </c>
      <c r="H90" s="2" t="s">
        <v>44</v>
      </c>
      <c r="I90" s="2" t="s">
        <v>55</v>
      </c>
    </row>
    <row r="91" spans="1:9">
      <c r="A91" s="2" t="s">
        <v>140</v>
      </c>
      <c r="B91" s="4">
        <v>46283</v>
      </c>
      <c r="C91" s="4">
        <v>46289</v>
      </c>
      <c r="D91" s="2" t="s">
        <v>25</v>
      </c>
      <c r="E91" s="2" t="s">
        <v>35</v>
      </c>
      <c r="F91" s="2" t="s">
        <v>47</v>
      </c>
      <c r="G91" s="2" t="s">
        <v>39</v>
      </c>
      <c r="H91" s="2" t="s">
        <v>44</v>
      </c>
      <c r="I91" s="2"/>
    </row>
    <row r="92" spans="1:9">
      <c r="A92" s="2" t="s">
        <v>141</v>
      </c>
      <c r="B92" s="4">
        <v>46283</v>
      </c>
      <c r="C92" s="4">
        <v>46291</v>
      </c>
      <c r="D92" s="2" t="s">
        <v>25</v>
      </c>
      <c r="E92" s="2" t="s">
        <v>35</v>
      </c>
      <c r="F92" s="2" t="s">
        <v>41</v>
      </c>
      <c r="G92" s="2" t="s">
        <v>32</v>
      </c>
      <c r="H92" s="2" t="s">
        <v>29</v>
      </c>
      <c r="I92" s="2"/>
    </row>
    <row r="93" spans="1:9">
      <c r="A93" s="2" t="s">
        <v>142</v>
      </c>
      <c r="B93" s="4">
        <v>46283</v>
      </c>
      <c r="C93" s="4">
        <v>46286</v>
      </c>
      <c r="D93" s="2" t="s">
        <v>25</v>
      </c>
      <c r="E93" s="2" t="s">
        <v>26</v>
      </c>
      <c r="F93" s="2" t="s">
        <v>38</v>
      </c>
      <c r="G93" s="2" t="s">
        <v>39</v>
      </c>
      <c r="H93" s="2" t="s">
        <v>48</v>
      </c>
      <c r="I93" s="2"/>
    </row>
    <row r="94" spans="1:9">
      <c r="A94" s="2" t="s">
        <v>143</v>
      </c>
      <c r="B94" s="4">
        <v>46283</v>
      </c>
      <c r="C94" s="4">
        <v>46292</v>
      </c>
      <c r="D94" s="2" t="s">
        <v>25</v>
      </c>
      <c r="E94" s="2" t="s">
        <v>35</v>
      </c>
      <c r="F94" s="2" t="s">
        <v>47</v>
      </c>
      <c r="G94" s="2" t="s">
        <v>39</v>
      </c>
      <c r="H94" s="2" t="s">
        <v>54</v>
      </c>
      <c r="I94" s="2"/>
    </row>
    <row r="95" spans="1:9">
      <c r="A95" s="2" t="s">
        <v>144</v>
      </c>
      <c r="B95" s="4">
        <v>46283</v>
      </c>
      <c r="C95" s="4">
        <v>46286</v>
      </c>
      <c r="D95" s="2" t="s">
        <v>25</v>
      </c>
      <c r="E95" s="2" t="s">
        <v>26</v>
      </c>
      <c r="F95" s="2" t="s">
        <v>38</v>
      </c>
      <c r="G95" s="2" t="s">
        <v>28</v>
      </c>
      <c r="H95" s="2" t="s">
        <v>36</v>
      </c>
      <c r="I95" s="2"/>
    </row>
    <row r="96" spans="1:9">
      <c r="A96" s="2" t="s">
        <v>145</v>
      </c>
      <c r="B96" s="4">
        <v>46284</v>
      </c>
      <c r="C96" s="4">
        <v>46285</v>
      </c>
      <c r="D96" s="2" t="s">
        <v>25</v>
      </c>
      <c r="E96" s="2" t="s">
        <v>26</v>
      </c>
      <c r="F96" s="2" t="s">
        <v>27</v>
      </c>
      <c r="G96" s="2" t="s">
        <v>39</v>
      </c>
      <c r="H96" s="2" t="s">
        <v>29</v>
      </c>
      <c r="I96" s="2"/>
    </row>
    <row r="97" spans="1:9">
      <c r="A97" s="2" t="s">
        <v>146</v>
      </c>
      <c r="B97" s="4">
        <v>46284</v>
      </c>
      <c r="C97" s="4">
        <v>46291</v>
      </c>
      <c r="D97" s="2" t="s">
        <v>25</v>
      </c>
      <c r="E97" s="2" t="s">
        <v>35</v>
      </c>
      <c r="F97" s="2" t="s">
        <v>27</v>
      </c>
      <c r="G97" s="2" t="s">
        <v>39</v>
      </c>
      <c r="H97" s="2" t="s">
        <v>36</v>
      </c>
      <c r="I97" s="2"/>
    </row>
    <row r="98" spans="1:9">
      <c r="A98" s="2" t="s">
        <v>147</v>
      </c>
      <c r="B98" s="4">
        <v>46284</v>
      </c>
      <c r="C98" s="4">
        <v>46286</v>
      </c>
      <c r="D98" s="2" t="s">
        <v>25</v>
      </c>
      <c r="E98" s="2" t="s">
        <v>26</v>
      </c>
      <c r="F98" s="2" t="s">
        <v>38</v>
      </c>
      <c r="G98" s="2" t="s">
        <v>39</v>
      </c>
      <c r="H98" s="2" t="s">
        <v>48</v>
      </c>
      <c r="I98" s="2"/>
    </row>
    <row r="99" spans="1:9">
      <c r="A99" s="2" t="s">
        <v>148</v>
      </c>
      <c r="B99" s="4">
        <v>46284</v>
      </c>
      <c r="C99" s="4">
        <v>46284</v>
      </c>
      <c r="D99" s="2" t="s">
        <v>25</v>
      </c>
      <c r="E99" s="2" t="s">
        <v>43</v>
      </c>
      <c r="F99" s="2" t="s">
        <v>41</v>
      </c>
      <c r="G99" s="2" t="s">
        <v>28</v>
      </c>
      <c r="H99" s="2" t="s">
        <v>36</v>
      </c>
      <c r="I99" s="2"/>
    </row>
    <row r="100" spans="1:9">
      <c r="A100" s="2" t="s">
        <v>149</v>
      </c>
      <c r="B100" s="4">
        <v>46284</v>
      </c>
      <c r="C100" s="4">
        <v>46295</v>
      </c>
      <c r="D100" s="2" t="s">
        <v>25</v>
      </c>
      <c r="E100" s="2" t="s">
        <v>35</v>
      </c>
      <c r="F100" s="2" t="s">
        <v>41</v>
      </c>
      <c r="G100" s="2" t="s">
        <v>32</v>
      </c>
      <c r="H100" s="2" t="s">
        <v>33</v>
      </c>
      <c r="I100" s="2" t="s">
        <v>60</v>
      </c>
    </row>
    <row r="101" spans="1:9">
      <c r="A101" s="2" t="s">
        <v>150</v>
      </c>
      <c r="B101" s="2" t="s">
        <v>151</v>
      </c>
      <c r="C101" s="4">
        <v>46295</v>
      </c>
      <c r="D101" s="2" t="s">
        <v>25</v>
      </c>
      <c r="E101" s="2" t="s">
        <v>26</v>
      </c>
      <c r="F101" s="2" t="s">
        <v>41</v>
      </c>
      <c r="G101" s="2" t="s">
        <v>32</v>
      </c>
      <c r="H101" s="2" t="s">
        <v>36</v>
      </c>
      <c r="I101" s="2" t="s">
        <v>60</v>
      </c>
    </row>
    <row r="102" spans="1:9">
      <c r="A102" s="2" t="s">
        <v>152</v>
      </c>
      <c r="B102" s="4">
        <v>46284</v>
      </c>
      <c r="C102" s="4">
        <v>46291</v>
      </c>
      <c r="D102" s="2" t="s">
        <v>25</v>
      </c>
      <c r="E102" s="2" t="s">
        <v>35</v>
      </c>
      <c r="F102" s="2" t="s">
        <v>41</v>
      </c>
      <c r="G102" s="2" t="s">
        <v>39</v>
      </c>
      <c r="H102" s="2" t="s">
        <v>48</v>
      </c>
      <c r="I102" s="2"/>
    </row>
    <row r="103" spans="1:9">
      <c r="A103" s="2" t="s">
        <v>153</v>
      </c>
      <c r="B103" s="4">
        <v>46285</v>
      </c>
      <c r="C103" s="4">
        <v>46291</v>
      </c>
      <c r="D103" s="2" t="s">
        <v>25</v>
      </c>
      <c r="E103" s="2" t="s">
        <v>35</v>
      </c>
      <c r="F103" s="2" t="s">
        <v>38</v>
      </c>
      <c r="G103" s="2" t="s">
        <v>39</v>
      </c>
      <c r="H103" s="2" t="s">
        <v>54</v>
      </c>
      <c r="I103" s="2"/>
    </row>
    <row r="104" spans="1:9">
      <c r="A104" s="2" t="s">
        <v>154</v>
      </c>
      <c r="B104" s="4">
        <v>46285</v>
      </c>
      <c r="C104" s="4">
        <v>46290</v>
      </c>
      <c r="D104" s="2" t="s">
        <v>25</v>
      </c>
      <c r="E104" s="2" t="s">
        <v>26</v>
      </c>
      <c r="F104" s="2" t="s">
        <v>31</v>
      </c>
      <c r="G104" s="2" t="s">
        <v>32</v>
      </c>
      <c r="H104" s="2" t="s">
        <v>33</v>
      </c>
      <c r="I104" s="2"/>
    </row>
    <row r="105" spans="1:9">
      <c r="A105" s="2" t="s">
        <v>155</v>
      </c>
      <c r="B105" s="4">
        <v>46285</v>
      </c>
      <c r="C105" s="4">
        <v>46291</v>
      </c>
      <c r="D105" s="2" t="s">
        <v>25</v>
      </c>
      <c r="E105" s="2" t="s">
        <v>43</v>
      </c>
      <c r="F105" s="2" t="s">
        <v>31</v>
      </c>
      <c r="G105" s="2" t="s">
        <v>28</v>
      </c>
      <c r="H105" s="2" t="s">
        <v>44</v>
      </c>
      <c r="I105" s="2" t="s">
        <v>60</v>
      </c>
    </row>
    <row r="106" spans="1:9">
      <c r="A106" s="2" t="s">
        <v>156</v>
      </c>
      <c r="B106" s="4">
        <v>46285</v>
      </c>
      <c r="C106" s="4">
        <v>46285</v>
      </c>
      <c r="D106" s="2" t="s">
        <v>25</v>
      </c>
      <c r="E106" s="2" t="s">
        <v>43</v>
      </c>
      <c r="F106" s="2" t="s">
        <v>47</v>
      </c>
      <c r="G106" s="2" t="s">
        <v>39</v>
      </c>
      <c r="H106" s="2" t="s">
        <v>48</v>
      </c>
      <c r="I106" s="2"/>
    </row>
    <row r="107" spans="1:9">
      <c r="A107" s="2" t="s">
        <v>157</v>
      </c>
      <c r="B107" s="4">
        <v>46285</v>
      </c>
      <c r="C107" s="4">
        <v>46287</v>
      </c>
      <c r="D107" s="2" t="s">
        <v>25</v>
      </c>
      <c r="E107" s="2" t="s">
        <v>43</v>
      </c>
      <c r="F107" s="2" t="s">
        <v>27</v>
      </c>
      <c r="G107" s="2" t="s">
        <v>39</v>
      </c>
      <c r="H107" s="2" t="s">
        <v>44</v>
      </c>
      <c r="I107" s="2"/>
    </row>
    <row r="108" spans="1:9">
      <c r="A108" s="2" t="s">
        <v>158</v>
      </c>
      <c r="B108" s="4">
        <v>46285</v>
      </c>
      <c r="C108" s="4">
        <v>46286</v>
      </c>
      <c r="D108" s="2" t="s">
        <v>25</v>
      </c>
      <c r="E108" s="2" t="s">
        <v>43</v>
      </c>
      <c r="F108" s="2" t="s">
        <v>31</v>
      </c>
      <c r="G108" s="2" t="s">
        <v>39</v>
      </c>
      <c r="H108" s="2" t="s">
        <v>48</v>
      </c>
      <c r="I108" s="2"/>
    </row>
    <row r="109" spans="1:9">
      <c r="A109" s="2" t="s">
        <v>159</v>
      </c>
      <c r="B109" s="2" t="s">
        <v>160</v>
      </c>
      <c r="C109" s="4">
        <v>46293</v>
      </c>
      <c r="D109" s="2" t="s">
        <v>25</v>
      </c>
      <c r="E109" s="2" t="s">
        <v>35</v>
      </c>
      <c r="F109" s="2" t="s">
        <v>47</v>
      </c>
      <c r="G109" s="2" t="s">
        <v>32</v>
      </c>
      <c r="H109" s="2" t="s">
        <v>48</v>
      </c>
      <c r="I109" s="2"/>
    </row>
    <row r="110" spans="1:9">
      <c r="A110" s="2" t="s">
        <v>161</v>
      </c>
      <c r="B110" s="4">
        <v>46286</v>
      </c>
      <c r="C110" s="4">
        <v>46295</v>
      </c>
      <c r="D110" s="2" t="s">
        <v>25</v>
      </c>
      <c r="E110" s="2" t="s">
        <v>26</v>
      </c>
      <c r="F110" s="2" t="s">
        <v>47</v>
      </c>
      <c r="G110" s="2" t="s">
        <v>28</v>
      </c>
      <c r="H110" s="2" t="s">
        <v>33</v>
      </c>
      <c r="I110" s="2" t="s">
        <v>55</v>
      </c>
    </row>
    <row r="111" spans="1:9">
      <c r="A111" s="2" t="s">
        <v>162</v>
      </c>
      <c r="B111" s="4">
        <v>46286</v>
      </c>
      <c r="C111" s="4">
        <v>46295</v>
      </c>
      <c r="D111" s="2" t="s">
        <v>25</v>
      </c>
      <c r="E111" s="2" t="s">
        <v>35</v>
      </c>
      <c r="F111" s="2" t="s">
        <v>47</v>
      </c>
      <c r="G111" s="2" t="s">
        <v>39</v>
      </c>
      <c r="H111" s="2" t="s">
        <v>44</v>
      </c>
      <c r="I111" s="2"/>
    </row>
    <row r="112" spans="1:9">
      <c r="A112" s="2" t="s">
        <v>163</v>
      </c>
      <c r="B112" s="4">
        <v>46286</v>
      </c>
      <c r="C112" s="4">
        <v>46288</v>
      </c>
      <c r="D112" s="2" t="s">
        <v>25</v>
      </c>
      <c r="E112" s="2" t="s">
        <v>43</v>
      </c>
      <c r="F112" s="2" t="s">
        <v>47</v>
      </c>
      <c r="G112" s="2" t="s">
        <v>28</v>
      </c>
      <c r="H112" s="2" t="s">
        <v>44</v>
      </c>
      <c r="I112" s="2"/>
    </row>
    <row r="113" spans="1:9">
      <c r="A113" s="2" t="s">
        <v>163</v>
      </c>
      <c r="B113" s="4">
        <v>46286</v>
      </c>
      <c r="C113" s="4">
        <v>46288</v>
      </c>
      <c r="D113" s="2" t="s">
        <v>25</v>
      </c>
      <c r="E113" s="2" t="s">
        <v>43</v>
      </c>
      <c r="F113" s="2" t="s">
        <v>47</v>
      </c>
      <c r="G113" s="2" t="s">
        <v>28</v>
      </c>
      <c r="H113" s="2" t="s">
        <v>44</v>
      </c>
      <c r="I113" s="2"/>
    </row>
    <row r="114" spans="1:9">
      <c r="A114" s="2" t="s">
        <v>164</v>
      </c>
      <c r="B114" s="4">
        <v>46286</v>
      </c>
      <c r="C114" s="4">
        <v>46291</v>
      </c>
      <c r="D114" s="2" t="s">
        <v>25</v>
      </c>
      <c r="E114" s="2" t="s">
        <v>26</v>
      </c>
      <c r="F114" s="2" t="s">
        <v>47</v>
      </c>
      <c r="G114" s="2" t="s">
        <v>39</v>
      </c>
      <c r="H114" s="2" t="s">
        <v>54</v>
      </c>
      <c r="I114" s="2"/>
    </row>
    <row r="115" spans="1:9">
      <c r="A115" s="2" t="s">
        <v>165</v>
      </c>
      <c r="B115" s="4">
        <v>46287</v>
      </c>
      <c r="C115" s="4">
        <v>46294</v>
      </c>
      <c r="D115" s="2" t="s">
        <v>25</v>
      </c>
      <c r="E115" s="2" t="s">
        <v>26</v>
      </c>
      <c r="F115" s="2" t="s">
        <v>47</v>
      </c>
      <c r="G115" s="2" t="s">
        <v>28</v>
      </c>
      <c r="H115" s="2" t="s">
        <v>54</v>
      </c>
      <c r="I115" s="2" t="s">
        <v>55</v>
      </c>
    </row>
    <row r="116" spans="1:9">
      <c r="A116" s="2" t="s">
        <v>166</v>
      </c>
      <c r="B116" s="4">
        <v>46287</v>
      </c>
      <c r="C116" s="4">
        <v>46292</v>
      </c>
      <c r="D116" s="2" t="s">
        <v>25</v>
      </c>
      <c r="E116" s="2" t="s">
        <v>26</v>
      </c>
      <c r="F116" s="2" t="s">
        <v>38</v>
      </c>
      <c r="G116" s="2" t="s">
        <v>39</v>
      </c>
      <c r="H116" s="2" t="s">
        <v>36</v>
      </c>
      <c r="I116" s="2"/>
    </row>
    <row r="117" spans="1:9">
      <c r="A117" s="2" t="s">
        <v>167</v>
      </c>
      <c r="B117" s="4">
        <v>46287</v>
      </c>
      <c r="C117" s="4">
        <v>46289</v>
      </c>
      <c r="D117" s="2" t="s">
        <v>25</v>
      </c>
      <c r="E117" s="2" t="s">
        <v>43</v>
      </c>
      <c r="F117" s="2" t="s">
        <v>31</v>
      </c>
      <c r="G117" s="2" t="s">
        <v>28</v>
      </c>
      <c r="H117" s="2" t="s">
        <v>54</v>
      </c>
      <c r="I117" s="2"/>
    </row>
    <row r="118" spans="1:9">
      <c r="A118" s="2" t="s">
        <v>168</v>
      </c>
      <c r="B118" s="4">
        <v>46288</v>
      </c>
      <c r="C118" s="4">
        <v>46289</v>
      </c>
      <c r="D118" s="2" t="s">
        <v>25</v>
      </c>
      <c r="E118" s="2" t="s">
        <v>26</v>
      </c>
      <c r="F118" s="2" t="s">
        <v>27</v>
      </c>
      <c r="G118" s="2" t="s">
        <v>32</v>
      </c>
      <c r="H118" s="2" t="s">
        <v>44</v>
      </c>
      <c r="I118" s="2"/>
    </row>
    <row r="119" spans="1:9">
      <c r="A119" s="2" t="s">
        <v>169</v>
      </c>
      <c r="B119" s="2" t="s">
        <v>170</v>
      </c>
      <c r="C119" s="4">
        <v>46295</v>
      </c>
      <c r="D119" s="2" t="s">
        <v>25</v>
      </c>
      <c r="E119" s="2" t="s">
        <v>26</v>
      </c>
      <c r="F119" s="2" t="s">
        <v>47</v>
      </c>
      <c r="G119" s="2" t="s">
        <v>32</v>
      </c>
      <c r="H119" s="2" t="s">
        <v>48</v>
      </c>
      <c r="I119" s="2" t="s">
        <v>55</v>
      </c>
    </row>
    <row r="120" spans="1:9">
      <c r="A120" s="2" t="s">
        <v>171</v>
      </c>
      <c r="B120" s="4">
        <v>46288</v>
      </c>
      <c r="C120" s="4">
        <v>46290</v>
      </c>
      <c r="D120" s="2" t="s">
        <v>25</v>
      </c>
      <c r="E120" s="2" t="s">
        <v>26</v>
      </c>
      <c r="F120" s="2" t="s">
        <v>31</v>
      </c>
      <c r="G120" s="2" t="s">
        <v>32</v>
      </c>
      <c r="H120" s="2" t="s">
        <v>29</v>
      </c>
      <c r="I120" s="2"/>
    </row>
    <row r="121" spans="1:9">
      <c r="A121" s="2" t="s">
        <v>172</v>
      </c>
      <c r="B121" s="4">
        <v>46288</v>
      </c>
      <c r="C121" s="4">
        <v>46295</v>
      </c>
      <c r="D121" s="2" t="s">
        <v>25</v>
      </c>
      <c r="E121" s="2" t="s">
        <v>43</v>
      </c>
      <c r="F121" s="2" t="s">
        <v>31</v>
      </c>
      <c r="G121" s="2" t="s">
        <v>28</v>
      </c>
      <c r="H121" s="2" t="s">
        <v>29</v>
      </c>
      <c r="I121" s="2" t="s">
        <v>55</v>
      </c>
    </row>
    <row r="122" spans="1:9">
      <c r="A122" s="2" t="s">
        <v>173</v>
      </c>
      <c r="B122" s="4">
        <v>46288</v>
      </c>
      <c r="C122" s="4">
        <v>46291</v>
      </c>
      <c r="D122" s="2" t="s">
        <v>25</v>
      </c>
      <c r="E122" s="2" t="s">
        <v>26</v>
      </c>
      <c r="F122" s="2" t="s">
        <v>31</v>
      </c>
      <c r="G122" s="2" t="s">
        <v>28</v>
      </c>
      <c r="H122" s="2" t="s">
        <v>48</v>
      </c>
      <c r="I122" s="2"/>
    </row>
    <row r="123" spans="1:9">
      <c r="A123" s="2" t="s">
        <v>174</v>
      </c>
      <c r="B123" s="4">
        <v>46288</v>
      </c>
      <c r="C123" s="4">
        <v>46296</v>
      </c>
      <c r="D123" s="2" t="s">
        <v>25</v>
      </c>
      <c r="E123" s="2" t="s">
        <v>35</v>
      </c>
      <c r="F123" s="2" t="s">
        <v>41</v>
      </c>
      <c r="G123" s="2" t="s">
        <v>39</v>
      </c>
      <c r="H123" s="2" t="s">
        <v>48</v>
      </c>
      <c r="I123" s="2"/>
    </row>
    <row r="124" spans="1:9">
      <c r="A124" s="2" t="s">
        <v>175</v>
      </c>
      <c r="B124" s="4">
        <v>46288</v>
      </c>
      <c r="C124" s="4">
        <v>46294</v>
      </c>
      <c r="D124" s="2" t="s">
        <v>25</v>
      </c>
      <c r="E124" s="2" t="s">
        <v>26</v>
      </c>
      <c r="F124" s="2" t="s">
        <v>27</v>
      </c>
      <c r="G124" s="2" t="s">
        <v>39</v>
      </c>
      <c r="H124" s="2" t="s">
        <v>33</v>
      </c>
      <c r="I124" s="2" t="s">
        <v>55</v>
      </c>
    </row>
    <row r="125" spans="1:9">
      <c r="A125" s="2" t="s">
        <v>176</v>
      </c>
      <c r="B125" s="4">
        <v>46289</v>
      </c>
      <c r="C125" s="4">
        <v>46292</v>
      </c>
      <c r="D125" s="2" t="s">
        <v>25</v>
      </c>
      <c r="E125" s="2" t="s">
        <v>26</v>
      </c>
      <c r="F125" s="2" t="s">
        <v>41</v>
      </c>
      <c r="G125" s="2" t="s">
        <v>39</v>
      </c>
      <c r="H125" s="2" t="s">
        <v>29</v>
      </c>
      <c r="I125" s="2"/>
    </row>
    <row r="126" spans="1:9">
      <c r="A126" s="2" t="s">
        <v>177</v>
      </c>
      <c r="B126" s="4">
        <v>46289</v>
      </c>
      <c r="C126" s="4">
        <v>46293</v>
      </c>
      <c r="D126" s="2" t="s">
        <v>25</v>
      </c>
      <c r="E126" s="2" t="s">
        <v>26</v>
      </c>
      <c r="F126" s="2" t="s">
        <v>38</v>
      </c>
      <c r="G126" s="2" t="s">
        <v>28</v>
      </c>
      <c r="H126" s="2" t="s">
        <v>33</v>
      </c>
      <c r="I126" s="2"/>
    </row>
    <row r="127" spans="1:9">
      <c r="A127" s="2" t="s">
        <v>178</v>
      </c>
      <c r="B127" s="4">
        <v>46289</v>
      </c>
      <c r="C127" s="4">
        <v>46297</v>
      </c>
      <c r="D127" s="2" t="s">
        <v>25</v>
      </c>
      <c r="E127" s="2" t="s">
        <v>35</v>
      </c>
      <c r="F127" s="2" t="s">
        <v>31</v>
      </c>
      <c r="G127" s="2" t="s">
        <v>39</v>
      </c>
      <c r="H127" s="2" t="s">
        <v>33</v>
      </c>
      <c r="I127" s="2"/>
    </row>
    <row r="128" spans="1:9">
      <c r="A128" s="2" t="s">
        <v>179</v>
      </c>
      <c r="B128" s="4">
        <v>46290</v>
      </c>
      <c r="C128" s="4">
        <v>46291</v>
      </c>
      <c r="D128" s="2" t="s">
        <v>25</v>
      </c>
      <c r="E128" s="2" t="s">
        <v>26</v>
      </c>
      <c r="F128" s="2" t="s">
        <v>41</v>
      </c>
      <c r="G128" s="2" t="s">
        <v>28</v>
      </c>
      <c r="H128" s="2" t="s">
        <v>33</v>
      </c>
      <c r="I128" s="2"/>
    </row>
    <row r="129" spans="1:9">
      <c r="A129" s="2" t="s">
        <v>180</v>
      </c>
      <c r="B129" s="4">
        <v>46290</v>
      </c>
      <c r="C129" s="4">
        <v>46302</v>
      </c>
      <c r="D129" s="2" t="s">
        <v>25</v>
      </c>
      <c r="E129" s="2" t="s">
        <v>35</v>
      </c>
      <c r="F129" s="2" t="s">
        <v>31</v>
      </c>
      <c r="G129" s="2" t="s">
        <v>39</v>
      </c>
      <c r="H129" s="2" t="s">
        <v>36</v>
      </c>
      <c r="I129" s="2" t="s">
        <v>52</v>
      </c>
    </row>
    <row r="130" spans="1:9">
      <c r="A130" s="2" t="s">
        <v>181</v>
      </c>
      <c r="B130" s="2" t="s">
        <v>182</v>
      </c>
      <c r="C130" s="4">
        <v>46297</v>
      </c>
      <c r="D130" s="2" t="s">
        <v>25</v>
      </c>
      <c r="E130" s="2" t="s">
        <v>35</v>
      </c>
      <c r="F130" s="2" t="s">
        <v>41</v>
      </c>
      <c r="G130" s="2" t="s">
        <v>39</v>
      </c>
      <c r="H130" s="2" t="s">
        <v>36</v>
      </c>
      <c r="I130" s="2"/>
    </row>
    <row r="131" spans="1:9">
      <c r="A131" s="2" t="s">
        <v>183</v>
      </c>
      <c r="B131" s="4">
        <v>46290</v>
      </c>
      <c r="C131" s="4">
        <v>46297</v>
      </c>
      <c r="D131" s="2" t="s">
        <v>25</v>
      </c>
      <c r="E131" s="2" t="s">
        <v>35</v>
      </c>
      <c r="F131" s="2" t="s">
        <v>27</v>
      </c>
      <c r="G131" s="2" t="s">
        <v>39</v>
      </c>
      <c r="H131" s="2" t="s">
        <v>33</v>
      </c>
      <c r="I131" s="2"/>
    </row>
    <row r="132" spans="1:9">
      <c r="A132" s="2" t="s">
        <v>184</v>
      </c>
      <c r="B132" s="4">
        <v>46291</v>
      </c>
      <c r="C132" s="4">
        <v>46299</v>
      </c>
      <c r="D132" s="2" t="s">
        <v>25</v>
      </c>
      <c r="E132" s="2" t="s">
        <v>35</v>
      </c>
      <c r="F132" s="2" t="s">
        <v>41</v>
      </c>
      <c r="G132" s="2" t="s">
        <v>32</v>
      </c>
      <c r="H132" s="2" t="s">
        <v>33</v>
      </c>
      <c r="I132" s="2"/>
    </row>
    <row r="133" spans="1:9">
      <c r="A133" s="2" t="s">
        <v>185</v>
      </c>
      <c r="B133" s="4">
        <v>46291</v>
      </c>
      <c r="C133" s="4">
        <v>46292</v>
      </c>
      <c r="D133" s="2" t="s">
        <v>25</v>
      </c>
      <c r="E133" s="2" t="s">
        <v>26</v>
      </c>
      <c r="F133" s="2" t="s">
        <v>41</v>
      </c>
      <c r="G133" s="2" t="s">
        <v>39</v>
      </c>
      <c r="H133" s="2" t="s">
        <v>48</v>
      </c>
      <c r="I133" s="2"/>
    </row>
    <row r="134" spans="1:9">
      <c r="A134" s="2" t="s">
        <v>186</v>
      </c>
      <c r="B134" s="4">
        <v>46292</v>
      </c>
      <c r="C134" s="4">
        <v>46294</v>
      </c>
      <c r="D134" s="2" t="s">
        <v>25</v>
      </c>
      <c r="E134" s="2" t="s">
        <v>43</v>
      </c>
      <c r="F134" s="2" t="s">
        <v>31</v>
      </c>
      <c r="G134" s="2" t="s">
        <v>39</v>
      </c>
      <c r="H134" s="2" t="s">
        <v>48</v>
      </c>
      <c r="I134" s="2"/>
    </row>
    <row r="135" spans="1:9">
      <c r="A135" s="2" t="s">
        <v>187</v>
      </c>
      <c r="B135" s="4">
        <v>46292</v>
      </c>
      <c r="C135" s="4">
        <v>46298</v>
      </c>
      <c r="D135" s="2" t="s">
        <v>25</v>
      </c>
      <c r="E135" s="2" t="s">
        <v>43</v>
      </c>
      <c r="F135" s="2" t="s">
        <v>47</v>
      </c>
      <c r="G135" s="2" t="s">
        <v>39</v>
      </c>
      <c r="H135" s="2" t="s">
        <v>36</v>
      </c>
      <c r="I135" s="2" t="s">
        <v>55</v>
      </c>
    </row>
    <row r="136" spans="1:9">
      <c r="A136" s="2" t="s">
        <v>187</v>
      </c>
      <c r="B136" s="4">
        <v>46292</v>
      </c>
      <c r="C136" s="4">
        <v>46298</v>
      </c>
      <c r="D136" s="2" t="s">
        <v>25</v>
      </c>
      <c r="E136" s="2" t="s">
        <v>43</v>
      </c>
      <c r="F136" s="2" t="s">
        <v>47</v>
      </c>
      <c r="G136" s="2" t="s">
        <v>39</v>
      </c>
      <c r="H136" s="2" t="s">
        <v>36</v>
      </c>
      <c r="I136" s="2" t="s">
        <v>55</v>
      </c>
    </row>
    <row r="137" spans="1:9">
      <c r="A137" s="2" t="s">
        <v>188</v>
      </c>
      <c r="B137" s="4">
        <v>46292</v>
      </c>
      <c r="C137" s="4">
        <v>46294</v>
      </c>
      <c r="D137" s="2" t="s">
        <v>25</v>
      </c>
      <c r="E137" s="2" t="s">
        <v>43</v>
      </c>
      <c r="F137" s="2" t="s">
        <v>41</v>
      </c>
      <c r="G137" s="2" t="s">
        <v>28</v>
      </c>
      <c r="H137" s="2" t="s">
        <v>54</v>
      </c>
      <c r="I137" s="2"/>
    </row>
    <row r="138" spans="1:9">
      <c r="A138" s="2" t="s">
        <v>189</v>
      </c>
      <c r="B138" s="4">
        <v>46292</v>
      </c>
      <c r="C138" s="4">
        <v>46298</v>
      </c>
      <c r="D138" s="2" t="s">
        <v>25</v>
      </c>
      <c r="E138" s="2" t="s">
        <v>35</v>
      </c>
      <c r="F138" s="2" t="s">
        <v>38</v>
      </c>
      <c r="G138" s="2" t="s">
        <v>39</v>
      </c>
      <c r="H138" s="2" t="s">
        <v>29</v>
      </c>
      <c r="I138" s="2"/>
    </row>
    <row r="139" spans="1:9">
      <c r="A139" s="2" t="s">
        <v>190</v>
      </c>
      <c r="B139" s="4">
        <v>46292</v>
      </c>
      <c r="C139" s="4">
        <v>46301</v>
      </c>
      <c r="D139" s="2" t="s">
        <v>25</v>
      </c>
      <c r="E139" s="2" t="s">
        <v>35</v>
      </c>
      <c r="F139" s="2" t="s">
        <v>47</v>
      </c>
      <c r="G139" s="2" t="s">
        <v>39</v>
      </c>
      <c r="H139" s="2" t="s">
        <v>44</v>
      </c>
      <c r="I139" s="2"/>
    </row>
    <row r="140" spans="1:9">
      <c r="A140" s="2" t="s">
        <v>191</v>
      </c>
      <c r="B140" s="4">
        <v>46292</v>
      </c>
      <c r="C140" s="4">
        <v>46298</v>
      </c>
      <c r="D140" s="2" t="s">
        <v>25</v>
      </c>
      <c r="E140" s="2" t="s">
        <v>35</v>
      </c>
      <c r="F140" s="2" t="s">
        <v>41</v>
      </c>
      <c r="G140" s="2" t="s">
        <v>39</v>
      </c>
      <c r="H140" s="2" t="s">
        <v>44</v>
      </c>
      <c r="I140" s="2"/>
    </row>
    <row r="141" spans="1:9">
      <c r="A141" s="2" t="s">
        <v>192</v>
      </c>
      <c r="B141" s="4">
        <v>46292</v>
      </c>
      <c r="C141" s="4">
        <v>46302</v>
      </c>
      <c r="D141" s="2" t="s">
        <v>25</v>
      </c>
      <c r="E141" s="2" t="s">
        <v>35</v>
      </c>
      <c r="F141" s="2" t="s">
        <v>31</v>
      </c>
      <c r="G141" s="2" t="s">
        <v>32</v>
      </c>
      <c r="H141" s="2" t="s">
        <v>54</v>
      </c>
      <c r="I141" s="2"/>
    </row>
    <row r="142" spans="1:9">
      <c r="A142" s="2" t="s">
        <v>193</v>
      </c>
      <c r="B142" s="4">
        <v>46293</v>
      </c>
      <c r="C142" s="4">
        <v>46305</v>
      </c>
      <c r="D142" s="2" t="s">
        <v>25</v>
      </c>
      <c r="E142" s="2" t="s">
        <v>35</v>
      </c>
      <c r="F142" s="2" t="s">
        <v>38</v>
      </c>
      <c r="G142" s="2" t="s">
        <v>39</v>
      </c>
      <c r="H142" s="2" t="s">
        <v>36</v>
      </c>
      <c r="I142" s="2" t="s">
        <v>194</v>
      </c>
    </row>
    <row r="143" spans="1:9">
      <c r="A143" s="2" t="s">
        <v>195</v>
      </c>
      <c r="B143" s="4">
        <v>46293</v>
      </c>
      <c r="C143" s="4">
        <v>46304</v>
      </c>
      <c r="D143" s="2" t="s">
        <v>25</v>
      </c>
      <c r="E143" s="2" t="s">
        <v>35</v>
      </c>
      <c r="F143" s="2" t="s">
        <v>47</v>
      </c>
      <c r="G143" s="2" t="s">
        <v>28</v>
      </c>
      <c r="H143" s="2" t="s">
        <v>29</v>
      </c>
      <c r="I143" s="2" t="s">
        <v>98</v>
      </c>
    </row>
    <row r="144" spans="1:9">
      <c r="A144" s="2" t="s">
        <v>196</v>
      </c>
      <c r="B144" s="4">
        <v>46293</v>
      </c>
      <c r="C144" s="4">
        <v>46301</v>
      </c>
      <c r="D144" s="2" t="s">
        <v>25</v>
      </c>
      <c r="E144" s="2" t="s">
        <v>35</v>
      </c>
      <c r="F144" s="2" t="s">
        <v>38</v>
      </c>
      <c r="G144" s="2" t="s">
        <v>32</v>
      </c>
      <c r="H144" s="2" t="s">
        <v>33</v>
      </c>
      <c r="I144" s="2"/>
    </row>
    <row r="145" spans="1:9">
      <c r="A145" s="2" t="s">
        <v>197</v>
      </c>
      <c r="B145" s="4">
        <v>46293</v>
      </c>
      <c r="C145" s="4">
        <v>46297</v>
      </c>
      <c r="D145" s="2" t="s">
        <v>25</v>
      </c>
      <c r="E145" s="2" t="s">
        <v>26</v>
      </c>
      <c r="F145" s="2" t="s">
        <v>47</v>
      </c>
      <c r="G145" s="2" t="s">
        <v>39</v>
      </c>
      <c r="H145" s="2"/>
      <c r="I145" s="2"/>
    </row>
    <row r="146" spans="1:9">
      <c r="A146" s="2" t="s">
        <v>198</v>
      </c>
      <c r="B146" s="4">
        <v>46293</v>
      </c>
      <c r="C146" s="4">
        <v>46294</v>
      </c>
      <c r="D146" s="2" t="s">
        <v>25</v>
      </c>
      <c r="E146" s="2" t="s">
        <v>43</v>
      </c>
      <c r="F146" s="2" t="s">
        <v>31</v>
      </c>
      <c r="G146" s="2" t="s">
        <v>28</v>
      </c>
      <c r="H146" s="2" t="s">
        <v>36</v>
      </c>
      <c r="I146" s="2"/>
    </row>
    <row r="147" spans="1:9">
      <c r="A147" s="2" t="s">
        <v>199</v>
      </c>
      <c r="B147" s="2" t="s">
        <v>200</v>
      </c>
      <c r="C147" s="4">
        <v>46301</v>
      </c>
      <c r="D147" s="2" t="s">
        <v>25</v>
      </c>
      <c r="E147" s="2" t="s">
        <v>35</v>
      </c>
      <c r="F147" s="2" t="s">
        <v>31</v>
      </c>
      <c r="G147" s="2" t="s">
        <v>39</v>
      </c>
      <c r="H147" s="2" t="s">
        <v>33</v>
      </c>
      <c r="I147" s="2"/>
    </row>
    <row r="148" spans="1:9">
      <c r="A148" s="2" t="s">
        <v>201</v>
      </c>
      <c r="B148" s="4">
        <v>46293</v>
      </c>
      <c r="C148" s="4">
        <v>46294</v>
      </c>
      <c r="D148" s="2" t="s">
        <v>25</v>
      </c>
      <c r="E148" s="2" t="s">
        <v>43</v>
      </c>
      <c r="F148" s="2" t="s">
        <v>47</v>
      </c>
      <c r="G148" s="2" t="s">
        <v>28</v>
      </c>
      <c r="H148" s="2" t="s">
        <v>36</v>
      </c>
      <c r="I148" s="2"/>
    </row>
    <row r="149" spans="1:9">
      <c r="A149" s="2" t="s">
        <v>202</v>
      </c>
      <c r="B149" s="4">
        <v>46293</v>
      </c>
      <c r="C149" s="4">
        <v>46297</v>
      </c>
      <c r="D149" s="2" t="s">
        <v>25</v>
      </c>
      <c r="E149" s="2" t="s">
        <v>26</v>
      </c>
      <c r="F149" s="2" t="s">
        <v>31</v>
      </c>
      <c r="G149" s="2" t="s">
        <v>28</v>
      </c>
      <c r="H149" s="2" t="s">
        <v>54</v>
      </c>
      <c r="I149" s="2"/>
    </row>
    <row r="150" spans="1:9">
      <c r="A150" s="2" t="s">
        <v>203</v>
      </c>
      <c r="B150" s="4">
        <v>46293</v>
      </c>
      <c r="C150" s="4">
        <v>46297</v>
      </c>
      <c r="D150" s="2" t="s">
        <v>25</v>
      </c>
      <c r="E150" s="2" t="s">
        <v>26</v>
      </c>
      <c r="F150" s="2" t="s">
        <v>31</v>
      </c>
      <c r="G150" s="2" t="s">
        <v>28</v>
      </c>
      <c r="H150" s="2" t="s">
        <v>48</v>
      </c>
      <c r="I150" s="2"/>
    </row>
    <row r="151" spans="1:9">
      <c r="A151" s="2" t="s">
        <v>204</v>
      </c>
      <c r="B151" s="4">
        <v>46294</v>
      </c>
      <c r="C151" s="4">
        <v>46296</v>
      </c>
      <c r="D151" s="2" t="s">
        <v>25</v>
      </c>
      <c r="E151" s="2" t="s">
        <v>43</v>
      </c>
      <c r="F151" s="2" t="s">
        <v>47</v>
      </c>
      <c r="G151" s="2" t="s">
        <v>28</v>
      </c>
      <c r="H151" s="2" t="s">
        <v>36</v>
      </c>
      <c r="I151" s="2"/>
    </row>
    <row r="152" spans="1:9">
      <c r="A152" s="2" t="s">
        <v>205</v>
      </c>
      <c r="B152" s="2" t="s">
        <v>206</v>
      </c>
      <c r="C152" s="4">
        <v>46296</v>
      </c>
      <c r="D152" s="2" t="s">
        <v>25</v>
      </c>
      <c r="E152" s="2" t="s">
        <v>26</v>
      </c>
      <c r="F152" s="2" t="s">
        <v>38</v>
      </c>
      <c r="G152" s="2" t="s">
        <v>32</v>
      </c>
      <c r="H152" s="2" t="s">
        <v>36</v>
      </c>
      <c r="I152" s="2"/>
    </row>
    <row r="153" spans="1:9">
      <c r="A153" s="2" t="s">
        <v>207</v>
      </c>
      <c r="B153" s="4">
        <v>46294</v>
      </c>
      <c r="C153" s="4">
        <v>46301</v>
      </c>
      <c r="D153" s="2" t="s">
        <v>25</v>
      </c>
      <c r="E153" s="2" t="s">
        <v>26</v>
      </c>
      <c r="F153" s="2" t="s">
        <v>31</v>
      </c>
      <c r="G153" s="2" t="s">
        <v>28</v>
      </c>
      <c r="H153" s="2" t="s">
        <v>208</v>
      </c>
      <c r="I153" s="2" t="s">
        <v>55</v>
      </c>
    </row>
    <row r="154" spans="1:9">
      <c r="A154" s="2" t="s">
        <v>209</v>
      </c>
      <c r="B154" s="4">
        <v>46294</v>
      </c>
      <c r="C154" s="4">
        <v>46304</v>
      </c>
      <c r="D154" s="2" t="s">
        <v>25</v>
      </c>
      <c r="E154" s="2" t="s">
        <v>35</v>
      </c>
      <c r="F154" s="2" t="s">
        <v>41</v>
      </c>
      <c r="G154" s="2" t="s">
        <v>28</v>
      </c>
      <c r="H154" s="2" t="s">
        <v>54</v>
      </c>
      <c r="I154" s="2"/>
    </row>
    <row r="155" spans="1:9">
      <c r="A155" s="2" t="s">
        <v>210</v>
      </c>
      <c r="B155" s="4">
        <v>46294</v>
      </c>
      <c r="C155" s="4">
        <v>46294</v>
      </c>
      <c r="D155" s="2" t="s">
        <v>25</v>
      </c>
      <c r="E155" s="2" t="s">
        <v>43</v>
      </c>
      <c r="F155" s="2" t="s">
        <v>31</v>
      </c>
      <c r="G155" s="2" t="s">
        <v>32</v>
      </c>
      <c r="H155" s="2" t="s">
        <v>54</v>
      </c>
      <c r="I155" s="2"/>
    </row>
    <row r="156" spans="1:9">
      <c r="A156" s="2" t="s">
        <v>211</v>
      </c>
      <c r="B156" s="4">
        <v>46295</v>
      </c>
      <c r="C156" s="4">
        <v>46296</v>
      </c>
      <c r="D156" s="2" t="s">
        <v>25</v>
      </c>
      <c r="E156" s="2" t="s">
        <v>43</v>
      </c>
      <c r="F156" s="2" t="s">
        <v>41</v>
      </c>
      <c r="G156" s="2" t="s">
        <v>32</v>
      </c>
      <c r="H156" s="2" t="s">
        <v>33</v>
      </c>
      <c r="I156" s="2"/>
    </row>
    <row r="157" spans="1:9">
      <c r="A157" s="2" t="s">
        <v>212</v>
      </c>
      <c r="B157" s="2" t="s">
        <v>213</v>
      </c>
      <c r="C157" s="4">
        <v>46299</v>
      </c>
      <c r="D157" s="2" t="s">
        <v>25</v>
      </c>
      <c r="E157" s="2" t="s">
        <v>26</v>
      </c>
      <c r="F157" s="2" t="s">
        <v>47</v>
      </c>
      <c r="G157" s="2" t="s">
        <v>28</v>
      </c>
      <c r="H157" s="2" t="s">
        <v>29</v>
      </c>
      <c r="I157" s="2"/>
    </row>
    <row r="158" spans="1:9">
      <c r="A158" s="2" t="s">
        <v>214</v>
      </c>
      <c r="B158" s="4">
        <v>46295</v>
      </c>
      <c r="C158" s="4">
        <v>46303</v>
      </c>
      <c r="D158" s="2" t="s">
        <v>25</v>
      </c>
      <c r="E158" s="2" t="s">
        <v>26</v>
      </c>
      <c r="F158" s="2" t="s">
        <v>31</v>
      </c>
      <c r="G158" s="2" t="s">
        <v>32</v>
      </c>
      <c r="H158" s="2" t="s">
        <v>48</v>
      </c>
      <c r="I158" s="2" t="s">
        <v>57</v>
      </c>
    </row>
    <row r="159" spans="1:9">
      <c r="A159" s="2" t="s">
        <v>215</v>
      </c>
      <c r="B159" s="4">
        <v>46295</v>
      </c>
      <c r="C159" s="4">
        <v>46307</v>
      </c>
      <c r="D159" s="2" t="s">
        <v>25</v>
      </c>
      <c r="E159" s="2" t="s">
        <v>35</v>
      </c>
      <c r="F159" s="2" t="s">
        <v>38</v>
      </c>
      <c r="G159" s="2" t="s">
        <v>28</v>
      </c>
      <c r="H159" s="2" t="s">
        <v>36</v>
      </c>
      <c r="I159" s="2" t="s">
        <v>60</v>
      </c>
    </row>
    <row r="160" spans="1:9">
      <c r="A160" s="2" t="s">
        <v>216</v>
      </c>
      <c r="B160" s="4">
        <v>46296</v>
      </c>
      <c r="C160" s="4">
        <v>46297</v>
      </c>
      <c r="D160" s="2" t="s">
        <v>25</v>
      </c>
      <c r="E160" s="2" t="s">
        <v>43</v>
      </c>
      <c r="F160" s="2" t="s">
        <v>27</v>
      </c>
      <c r="G160" s="2" t="s">
        <v>32</v>
      </c>
      <c r="H160" s="2" t="s">
        <v>44</v>
      </c>
      <c r="I160" s="2"/>
    </row>
    <row r="161" spans="1:9">
      <c r="A161" s="2" t="s">
        <v>217</v>
      </c>
      <c r="B161" s="4">
        <v>46296</v>
      </c>
      <c r="C161" s="4">
        <v>46298</v>
      </c>
      <c r="D161" s="2" t="s">
        <v>25</v>
      </c>
      <c r="E161" s="2" t="s">
        <v>26</v>
      </c>
      <c r="F161" s="2" t="s">
        <v>27</v>
      </c>
      <c r="G161" s="2" t="s">
        <v>39</v>
      </c>
      <c r="H161" s="2" t="s">
        <v>44</v>
      </c>
      <c r="I161" s="2"/>
    </row>
    <row r="162" spans="1:9">
      <c r="A162" s="2" t="s">
        <v>218</v>
      </c>
      <c r="B162" s="4">
        <v>46296</v>
      </c>
      <c r="C162" s="4">
        <v>46309</v>
      </c>
      <c r="D162" s="2" t="s">
        <v>25</v>
      </c>
      <c r="E162" s="2" t="s">
        <v>35</v>
      </c>
      <c r="F162" s="2" t="s">
        <v>31</v>
      </c>
      <c r="G162" s="2" t="s">
        <v>28</v>
      </c>
      <c r="H162" s="2" t="s">
        <v>33</v>
      </c>
      <c r="I162" s="2" t="s">
        <v>55</v>
      </c>
    </row>
    <row r="163" spans="1:9">
      <c r="A163" s="2" t="s">
        <v>219</v>
      </c>
      <c r="B163" s="4">
        <v>46296</v>
      </c>
      <c r="C163" s="4">
        <v>46293</v>
      </c>
      <c r="D163" s="2" t="s">
        <v>25</v>
      </c>
      <c r="E163" s="2" t="s">
        <v>43</v>
      </c>
      <c r="F163" s="2" t="s">
        <v>27</v>
      </c>
      <c r="G163" s="2" t="s">
        <v>28</v>
      </c>
      <c r="H163" s="2" t="s">
        <v>29</v>
      </c>
      <c r="I163" s="2"/>
    </row>
    <row r="164" spans="1:9">
      <c r="A164" s="2" t="s">
        <v>220</v>
      </c>
      <c r="B164" s="4">
        <v>46296</v>
      </c>
      <c r="C164" s="4">
        <v>46303</v>
      </c>
      <c r="D164" s="2" t="s">
        <v>25</v>
      </c>
      <c r="E164" s="2" t="s">
        <v>35</v>
      </c>
      <c r="F164" s="2" t="s">
        <v>27</v>
      </c>
      <c r="G164" s="2" t="s">
        <v>28</v>
      </c>
      <c r="H164" s="2" t="s">
        <v>36</v>
      </c>
      <c r="I164" s="2"/>
    </row>
    <row r="165" spans="1:9">
      <c r="A165" s="2" t="s">
        <v>221</v>
      </c>
      <c r="B165" s="4">
        <v>46296</v>
      </c>
      <c r="C165" s="4">
        <v>46311</v>
      </c>
      <c r="D165" s="2" t="s">
        <v>25</v>
      </c>
      <c r="E165" s="2" t="s">
        <v>35</v>
      </c>
      <c r="F165" s="2" t="s">
        <v>47</v>
      </c>
      <c r="G165" s="2" t="s">
        <v>39</v>
      </c>
      <c r="H165" s="2" t="s">
        <v>44</v>
      </c>
      <c r="I165" s="2" t="s">
        <v>57</v>
      </c>
    </row>
    <row r="166" spans="1:9">
      <c r="A166" s="2" t="s">
        <v>222</v>
      </c>
      <c r="B166" s="4">
        <v>46296</v>
      </c>
      <c r="C166" s="4">
        <v>46297</v>
      </c>
      <c r="D166" s="2" t="s">
        <v>25</v>
      </c>
      <c r="E166" s="2" t="s">
        <v>26</v>
      </c>
      <c r="F166" s="2" t="s">
        <v>38</v>
      </c>
      <c r="G166" s="2" t="s">
        <v>28</v>
      </c>
      <c r="H166" s="2" t="s">
        <v>54</v>
      </c>
      <c r="I166" s="2"/>
    </row>
    <row r="167" spans="1:9">
      <c r="A167" s="2" t="s">
        <v>223</v>
      </c>
      <c r="B167" s="4">
        <v>46297</v>
      </c>
      <c r="C167" s="4">
        <v>46299</v>
      </c>
      <c r="D167" s="2" t="s">
        <v>25</v>
      </c>
      <c r="E167" s="2" t="s">
        <v>26</v>
      </c>
      <c r="F167" s="2" t="s">
        <v>27</v>
      </c>
      <c r="G167" s="2" t="s">
        <v>39</v>
      </c>
      <c r="H167" s="2"/>
      <c r="I167" s="2"/>
    </row>
    <row r="168" spans="1:9">
      <c r="A168" s="2" t="s">
        <v>224</v>
      </c>
      <c r="B168" s="4">
        <v>46297</v>
      </c>
      <c r="C168" s="4">
        <v>46298</v>
      </c>
      <c r="D168" s="2" t="s">
        <v>25</v>
      </c>
      <c r="E168" s="2" t="s">
        <v>26</v>
      </c>
      <c r="F168" s="2" t="s">
        <v>27</v>
      </c>
      <c r="G168" s="2" t="s">
        <v>28</v>
      </c>
      <c r="H168" s="2" t="s">
        <v>54</v>
      </c>
      <c r="I168" s="2"/>
    </row>
    <row r="169" spans="1:9">
      <c r="A169" s="2" t="s">
        <v>225</v>
      </c>
      <c r="B169" s="4">
        <v>46297</v>
      </c>
      <c r="C169" s="4">
        <v>46300</v>
      </c>
      <c r="D169" s="2" t="s">
        <v>25</v>
      </c>
      <c r="E169" s="2" t="s">
        <v>26</v>
      </c>
      <c r="F169" s="2" t="s">
        <v>47</v>
      </c>
      <c r="G169" s="2" t="s">
        <v>28</v>
      </c>
      <c r="H169" s="2" t="s">
        <v>29</v>
      </c>
      <c r="I169" s="2"/>
    </row>
    <row r="170" spans="1:9">
      <c r="A170" s="2" t="s">
        <v>226</v>
      </c>
      <c r="B170" s="4">
        <v>46297</v>
      </c>
      <c r="C170" s="4">
        <v>46298</v>
      </c>
      <c r="D170" s="2" t="s">
        <v>25</v>
      </c>
      <c r="E170" s="2" t="s">
        <v>26</v>
      </c>
      <c r="F170" s="2" t="s">
        <v>41</v>
      </c>
      <c r="G170" s="2" t="s">
        <v>39</v>
      </c>
      <c r="H170" s="2" t="s">
        <v>48</v>
      </c>
      <c r="I170" s="2"/>
    </row>
    <row r="171" spans="1:9">
      <c r="A171" s="2" t="s">
        <v>227</v>
      </c>
      <c r="B171" s="4">
        <v>46297</v>
      </c>
      <c r="C171" s="4">
        <v>46304</v>
      </c>
      <c r="D171" s="2" t="s">
        <v>25</v>
      </c>
      <c r="E171" s="2" t="s">
        <v>26</v>
      </c>
      <c r="F171" s="2" t="s">
        <v>47</v>
      </c>
      <c r="G171" s="2" t="s">
        <v>32</v>
      </c>
      <c r="H171" s="2" t="s">
        <v>33</v>
      </c>
      <c r="I171" s="2" t="s">
        <v>55</v>
      </c>
    </row>
    <row r="172" spans="1:9">
      <c r="A172" s="2" t="s">
        <v>228</v>
      </c>
      <c r="B172" s="4">
        <v>46298</v>
      </c>
      <c r="C172" s="4">
        <v>46299</v>
      </c>
      <c r="D172" s="2" t="s">
        <v>25</v>
      </c>
      <c r="E172" s="2" t="s">
        <v>26</v>
      </c>
      <c r="F172" s="2" t="s">
        <v>47</v>
      </c>
      <c r="G172" s="2" t="s">
        <v>28</v>
      </c>
      <c r="H172" s="2" t="s">
        <v>33</v>
      </c>
      <c r="I172" s="2"/>
    </row>
    <row r="173" spans="1:9">
      <c r="A173" s="2" t="s">
        <v>229</v>
      </c>
      <c r="B173" s="4">
        <v>46298</v>
      </c>
      <c r="C173" s="4">
        <v>46308</v>
      </c>
      <c r="D173" s="2" t="s">
        <v>25</v>
      </c>
      <c r="E173" s="2" t="s">
        <v>26</v>
      </c>
      <c r="F173" s="2" t="s">
        <v>31</v>
      </c>
      <c r="G173" s="2" t="s">
        <v>39</v>
      </c>
      <c r="H173" s="2" t="s">
        <v>44</v>
      </c>
      <c r="I173" s="2" t="s">
        <v>57</v>
      </c>
    </row>
    <row r="174" spans="1:9">
      <c r="A174" s="2" t="s">
        <v>230</v>
      </c>
      <c r="B174" s="4">
        <v>46298</v>
      </c>
      <c r="C174" s="4">
        <v>46300</v>
      </c>
      <c r="D174" s="2" t="s">
        <v>25</v>
      </c>
      <c r="E174" s="2" t="s">
        <v>43</v>
      </c>
      <c r="F174" s="2" t="s">
        <v>31</v>
      </c>
      <c r="G174" s="2" t="s">
        <v>32</v>
      </c>
      <c r="H174" s="2" t="s">
        <v>36</v>
      </c>
      <c r="I174" s="2"/>
    </row>
    <row r="175" spans="1:9">
      <c r="A175" s="2" t="s">
        <v>231</v>
      </c>
      <c r="B175" s="4">
        <v>46298</v>
      </c>
      <c r="C175" s="4">
        <v>46308</v>
      </c>
      <c r="D175" s="2" t="s">
        <v>25</v>
      </c>
      <c r="E175" s="2" t="s">
        <v>35</v>
      </c>
      <c r="F175" s="2" t="s">
        <v>38</v>
      </c>
      <c r="G175" s="2" t="s">
        <v>39</v>
      </c>
      <c r="H175" s="2" t="s">
        <v>29</v>
      </c>
      <c r="I175" s="2"/>
    </row>
    <row r="176" spans="1:9">
      <c r="A176" s="2" t="s">
        <v>232</v>
      </c>
      <c r="B176" s="4">
        <v>46299</v>
      </c>
      <c r="C176" s="4">
        <v>46309</v>
      </c>
      <c r="D176" s="2" t="s">
        <v>25</v>
      </c>
      <c r="E176" s="2" t="s">
        <v>35</v>
      </c>
      <c r="F176" s="2" t="s">
        <v>31</v>
      </c>
      <c r="G176" s="2" t="s">
        <v>32</v>
      </c>
      <c r="H176" s="2" t="s">
        <v>33</v>
      </c>
      <c r="I176" s="2"/>
    </row>
    <row r="177" spans="1:9">
      <c r="A177" s="2" t="s">
        <v>233</v>
      </c>
      <c r="B177" s="4">
        <v>46299</v>
      </c>
      <c r="C177" s="4">
        <v>46308</v>
      </c>
      <c r="D177" s="2" t="s">
        <v>25</v>
      </c>
      <c r="E177" s="2" t="s">
        <v>35</v>
      </c>
      <c r="F177" s="2" t="s">
        <v>41</v>
      </c>
      <c r="G177" s="2" t="s">
        <v>28</v>
      </c>
      <c r="H177" s="2" t="s">
        <v>33</v>
      </c>
      <c r="I177" s="2"/>
    </row>
    <row r="178" spans="1:9">
      <c r="A178" s="2" t="s">
        <v>234</v>
      </c>
      <c r="B178" s="4">
        <v>46299</v>
      </c>
      <c r="C178" s="4">
        <v>46300</v>
      </c>
      <c r="D178" s="2" t="s">
        <v>25</v>
      </c>
      <c r="E178" s="2" t="s">
        <v>43</v>
      </c>
      <c r="F178" s="2" t="s">
        <v>47</v>
      </c>
      <c r="G178" s="2" t="s">
        <v>32</v>
      </c>
      <c r="H178" s="2" t="s">
        <v>44</v>
      </c>
      <c r="I178" s="2"/>
    </row>
    <row r="179" spans="1:9">
      <c r="A179" s="2" t="s">
        <v>235</v>
      </c>
      <c r="B179" s="4">
        <v>46299</v>
      </c>
      <c r="C179" s="4">
        <v>46307</v>
      </c>
      <c r="D179" s="2" t="s">
        <v>25</v>
      </c>
      <c r="E179" s="2" t="s">
        <v>35</v>
      </c>
      <c r="F179" s="2" t="s">
        <v>27</v>
      </c>
      <c r="G179" s="2" t="s">
        <v>39</v>
      </c>
      <c r="H179" s="2" t="s">
        <v>54</v>
      </c>
      <c r="I179" s="2"/>
    </row>
    <row r="180" spans="1:9">
      <c r="A180" s="2" t="s">
        <v>236</v>
      </c>
      <c r="B180" s="4">
        <v>46299</v>
      </c>
      <c r="C180" s="4">
        <v>46302</v>
      </c>
      <c r="D180" s="2" t="s">
        <v>25</v>
      </c>
      <c r="E180" s="2" t="s">
        <v>26</v>
      </c>
      <c r="F180" s="2" t="s">
        <v>47</v>
      </c>
      <c r="G180" s="2" t="s">
        <v>32</v>
      </c>
      <c r="H180" s="2" t="s">
        <v>54</v>
      </c>
      <c r="I180" s="2"/>
    </row>
    <row r="181" spans="1:9">
      <c r="A181" s="2" t="s">
        <v>237</v>
      </c>
      <c r="B181" s="4">
        <v>46299</v>
      </c>
      <c r="C181" s="4">
        <v>46301</v>
      </c>
      <c r="D181" s="2" t="s">
        <v>25</v>
      </c>
      <c r="E181" s="2" t="s">
        <v>26</v>
      </c>
      <c r="F181" s="2" t="s">
        <v>31</v>
      </c>
      <c r="G181" s="2" t="s">
        <v>32</v>
      </c>
      <c r="H181" s="2" t="s">
        <v>238</v>
      </c>
      <c r="I181" s="2"/>
    </row>
    <row r="182" spans="1:9">
      <c r="A182" s="2" t="s">
        <v>239</v>
      </c>
      <c r="B182" s="4">
        <v>46299</v>
      </c>
      <c r="C182" s="4">
        <v>46302</v>
      </c>
      <c r="D182" s="2" t="s">
        <v>25</v>
      </c>
      <c r="E182" s="2" t="s">
        <v>26</v>
      </c>
      <c r="F182" s="2" t="s">
        <v>38</v>
      </c>
      <c r="G182" s="2" t="s">
        <v>28</v>
      </c>
      <c r="H182" s="2" t="s">
        <v>54</v>
      </c>
      <c r="I182" s="2"/>
    </row>
    <row r="183" spans="1:9">
      <c r="A183" s="2" t="s">
        <v>239</v>
      </c>
      <c r="B183" s="4">
        <v>46299</v>
      </c>
      <c r="C183" s="4">
        <v>46302</v>
      </c>
      <c r="D183" s="2" t="s">
        <v>25</v>
      </c>
      <c r="E183" s="2" t="s">
        <v>26</v>
      </c>
      <c r="F183" s="2" t="s">
        <v>38</v>
      </c>
      <c r="G183" s="2" t="s">
        <v>28</v>
      </c>
      <c r="H183" s="2" t="s">
        <v>54</v>
      </c>
      <c r="I183" s="2"/>
    </row>
    <row r="184" spans="1:9">
      <c r="A184" s="2" t="s">
        <v>240</v>
      </c>
      <c r="B184" s="4">
        <v>46300</v>
      </c>
      <c r="C184" s="4">
        <v>46311</v>
      </c>
      <c r="D184" s="2" t="s">
        <v>25</v>
      </c>
      <c r="E184" s="2" t="s">
        <v>26</v>
      </c>
      <c r="F184" s="2" t="s">
        <v>31</v>
      </c>
      <c r="G184" s="2" t="s">
        <v>32</v>
      </c>
      <c r="H184" s="2"/>
      <c r="I184" s="2" t="s">
        <v>55</v>
      </c>
    </row>
    <row r="185" spans="1:9">
      <c r="A185" s="2" t="s">
        <v>241</v>
      </c>
      <c r="B185" s="4">
        <v>46300</v>
      </c>
      <c r="C185" s="4">
        <v>46305</v>
      </c>
      <c r="D185" s="2" t="s">
        <v>25</v>
      </c>
      <c r="E185" s="2" t="s">
        <v>43</v>
      </c>
      <c r="F185" s="2" t="s">
        <v>31</v>
      </c>
      <c r="G185" s="2" t="s">
        <v>28</v>
      </c>
      <c r="H185" s="2" t="s">
        <v>36</v>
      </c>
      <c r="I185" s="2" t="s">
        <v>55</v>
      </c>
    </row>
    <row r="186" spans="1:9">
      <c r="A186" s="2" t="s">
        <v>242</v>
      </c>
      <c r="B186" s="4">
        <v>46300</v>
      </c>
      <c r="C186" s="4">
        <v>46303</v>
      </c>
      <c r="D186" s="2" t="s">
        <v>25</v>
      </c>
      <c r="E186" s="2" t="s">
        <v>26</v>
      </c>
      <c r="F186" s="2" t="s">
        <v>47</v>
      </c>
      <c r="G186" s="2" t="s">
        <v>39</v>
      </c>
      <c r="H186" s="2" t="s">
        <v>33</v>
      </c>
      <c r="I186" s="2"/>
    </row>
    <row r="187" spans="1:9">
      <c r="A187" s="2" t="s">
        <v>243</v>
      </c>
      <c r="B187" s="4">
        <v>46300</v>
      </c>
      <c r="C187" s="4">
        <v>46302</v>
      </c>
      <c r="D187" s="2" t="s">
        <v>25</v>
      </c>
      <c r="E187" s="2" t="s">
        <v>43</v>
      </c>
      <c r="F187" s="2" t="s">
        <v>31</v>
      </c>
      <c r="G187" s="2" t="s">
        <v>39</v>
      </c>
      <c r="H187" s="2" t="s">
        <v>36</v>
      </c>
      <c r="I187" s="2"/>
    </row>
    <row r="188" spans="1:9">
      <c r="A188" s="2" t="s">
        <v>244</v>
      </c>
      <c r="B188" s="4">
        <v>46301</v>
      </c>
      <c r="C188" s="4">
        <v>46304</v>
      </c>
      <c r="D188" s="2" t="s">
        <v>25</v>
      </c>
      <c r="E188" s="2" t="s">
        <v>26</v>
      </c>
      <c r="F188" s="2" t="s">
        <v>27</v>
      </c>
      <c r="G188" s="2" t="s">
        <v>28</v>
      </c>
      <c r="H188" s="2" t="s">
        <v>54</v>
      </c>
      <c r="I188" s="2"/>
    </row>
    <row r="189" spans="1:9">
      <c r="A189" s="2" t="s">
        <v>245</v>
      </c>
      <c r="B189" s="4">
        <v>46302</v>
      </c>
      <c r="C189" s="4">
        <v>46311</v>
      </c>
      <c r="D189" s="2" t="s">
        <v>25</v>
      </c>
      <c r="E189" s="2" t="s">
        <v>35</v>
      </c>
      <c r="F189" s="2" t="s">
        <v>27</v>
      </c>
      <c r="G189" s="2" t="s">
        <v>32</v>
      </c>
      <c r="H189" s="2" t="s">
        <v>48</v>
      </c>
      <c r="I189" s="2"/>
    </row>
    <row r="190" spans="1:9">
      <c r="A190" s="2" t="s">
        <v>246</v>
      </c>
      <c r="B190" s="4">
        <v>46303</v>
      </c>
      <c r="C190" s="4">
        <v>46309</v>
      </c>
      <c r="D190" s="2" t="s">
        <v>25</v>
      </c>
      <c r="E190" s="2" t="s">
        <v>35</v>
      </c>
      <c r="F190" s="2" t="s">
        <v>41</v>
      </c>
      <c r="G190" s="2" t="s">
        <v>28</v>
      </c>
      <c r="H190" s="2" t="s">
        <v>33</v>
      </c>
      <c r="I190" s="2"/>
    </row>
    <row r="191" spans="1:9">
      <c r="A191" s="2" t="s">
        <v>247</v>
      </c>
      <c r="B191" s="4">
        <v>46303</v>
      </c>
      <c r="C191" s="4">
        <v>46313</v>
      </c>
      <c r="D191" s="2" t="s">
        <v>25</v>
      </c>
      <c r="E191" s="2" t="s">
        <v>26</v>
      </c>
      <c r="F191" s="2" t="s">
        <v>47</v>
      </c>
      <c r="G191" s="2" t="s">
        <v>28</v>
      </c>
      <c r="H191" s="2" t="s">
        <v>36</v>
      </c>
      <c r="I191" s="2" t="s">
        <v>98</v>
      </c>
    </row>
    <row r="192" spans="1:9">
      <c r="A192" s="2" t="s">
        <v>248</v>
      </c>
      <c r="B192" s="4">
        <v>46303</v>
      </c>
      <c r="C192" s="4">
        <v>46310</v>
      </c>
      <c r="D192" s="2" t="s">
        <v>25</v>
      </c>
      <c r="E192" s="2" t="s">
        <v>35</v>
      </c>
      <c r="F192" s="2" t="s">
        <v>47</v>
      </c>
      <c r="G192" s="2" t="s">
        <v>28</v>
      </c>
      <c r="H192" s="2" t="s">
        <v>54</v>
      </c>
      <c r="I192" s="2"/>
    </row>
    <row r="193" spans="1:9">
      <c r="A193" s="2" t="s">
        <v>249</v>
      </c>
      <c r="B193" s="4">
        <v>46303</v>
      </c>
      <c r="C193" s="4">
        <v>46312</v>
      </c>
      <c r="D193" s="2" t="s">
        <v>25</v>
      </c>
      <c r="E193" s="2" t="s">
        <v>35</v>
      </c>
      <c r="F193" s="2" t="s">
        <v>31</v>
      </c>
      <c r="G193" s="2" t="s">
        <v>39</v>
      </c>
      <c r="H193" s="2" t="s">
        <v>36</v>
      </c>
      <c r="I193" s="2"/>
    </row>
    <row r="194" spans="1:9">
      <c r="A194" s="2" t="s">
        <v>250</v>
      </c>
      <c r="B194" s="4">
        <v>46303</v>
      </c>
      <c r="C194" s="4">
        <v>46306</v>
      </c>
      <c r="D194" s="2" t="s">
        <v>25</v>
      </c>
      <c r="E194" s="2" t="s">
        <v>26</v>
      </c>
      <c r="F194" s="2" t="s">
        <v>27</v>
      </c>
      <c r="G194" s="2" t="s">
        <v>39</v>
      </c>
      <c r="H194" s="2" t="s">
        <v>36</v>
      </c>
      <c r="I194" s="2"/>
    </row>
    <row r="195" spans="1:9">
      <c r="A195" s="2" t="s">
        <v>251</v>
      </c>
      <c r="B195" s="4">
        <v>46303</v>
      </c>
      <c r="C195" s="4">
        <v>46308</v>
      </c>
      <c r="D195" s="2" t="s">
        <v>25</v>
      </c>
      <c r="E195" s="2" t="s">
        <v>26</v>
      </c>
      <c r="F195" s="2" t="s">
        <v>31</v>
      </c>
      <c r="G195" s="2" t="s">
        <v>32</v>
      </c>
      <c r="H195" s="2" t="s">
        <v>33</v>
      </c>
      <c r="I195" s="2"/>
    </row>
    <row r="196" spans="1:9">
      <c r="A196" s="2" t="s">
        <v>252</v>
      </c>
      <c r="B196" s="4">
        <v>46303</v>
      </c>
      <c r="C196" s="4">
        <v>46305</v>
      </c>
      <c r="D196" s="2" t="s">
        <v>25</v>
      </c>
      <c r="E196" s="2" t="s">
        <v>26</v>
      </c>
      <c r="F196" s="2" t="s">
        <v>41</v>
      </c>
      <c r="G196" s="2" t="s">
        <v>39</v>
      </c>
      <c r="H196" s="2" t="s">
        <v>54</v>
      </c>
      <c r="I196" s="2"/>
    </row>
    <row r="197" spans="1:9">
      <c r="A197" s="2" t="s">
        <v>253</v>
      </c>
      <c r="B197" s="4">
        <v>46303</v>
      </c>
      <c r="C197" s="4">
        <v>46304</v>
      </c>
      <c r="D197" s="2" t="s">
        <v>25</v>
      </c>
      <c r="E197" s="2" t="s">
        <v>43</v>
      </c>
      <c r="F197" s="2" t="s">
        <v>47</v>
      </c>
      <c r="G197" s="2" t="s">
        <v>32</v>
      </c>
      <c r="H197" s="2" t="s">
        <v>48</v>
      </c>
      <c r="I197" s="2"/>
    </row>
    <row r="198" spans="1:9">
      <c r="A198" s="2" t="s">
        <v>254</v>
      </c>
      <c r="B198" s="4">
        <v>46303</v>
      </c>
      <c r="C198" s="4">
        <v>46304</v>
      </c>
      <c r="D198" s="2" t="s">
        <v>25</v>
      </c>
      <c r="E198" s="2" t="s">
        <v>43</v>
      </c>
      <c r="F198" s="2" t="s">
        <v>27</v>
      </c>
      <c r="G198" s="2" t="s">
        <v>39</v>
      </c>
      <c r="H198" s="2" t="s">
        <v>29</v>
      </c>
      <c r="I198" s="2"/>
    </row>
    <row r="199" spans="1:9">
      <c r="A199" s="2" t="s">
        <v>255</v>
      </c>
      <c r="B199" s="4">
        <v>46304</v>
      </c>
      <c r="C199" s="4">
        <v>46307</v>
      </c>
      <c r="D199" s="2" t="s">
        <v>25</v>
      </c>
      <c r="E199" s="2" t="s">
        <v>26</v>
      </c>
      <c r="F199" s="2" t="s">
        <v>38</v>
      </c>
      <c r="G199" s="2" t="s">
        <v>32</v>
      </c>
      <c r="H199" s="2" t="s">
        <v>29</v>
      </c>
      <c r="I199" s="2"/>
    </row>
    <row r="200" spans="1:9">
      <c r="A200" s="2" t="s">
        <v>256</v>
      </c>
      <c r="B200" s="4">
        <v>46304</v>
      </c>
      <c r="C200" s="4">
        <v>46305</v>
      </c>
      <c r="D200" s="2" t="s">
        <v>25</v>
      </c>
      <c r="E200" s="2" t="s">
        <v>257</v>
      </c>
      <c r="F200" s="2" t="s">
        <v>27</v>
      </c>
      <c r="G200" s="2" t="s">
        <v>32</v>
      </c>
      <c r="H200" s="2" t="s">
        <v>33</v>
      </c>
      <c r="I200" s="2"/>
    </row>
    <row r="201" spans="1:9">
      <c r="A201" s="2" t="s">
        <v>258</v>
      </c>
      <c r="B201" s="4">
        <v>46304</v>
      </c>
      <c r="C201" s="4">
        <v>46306</v>
      </c>
      <c r="D201" s="2" t="s">
        <v>25</v>
      </c>
      <c r="E201" s="2" t="s">
        <v>43</v>
      </c>
      <c r="F201" s="2" t="s">
        <v>31</v>
      </c>
      <c r="G201" s="2" t="s">
        <v>32</v>
      </c>
      <c r="H201" s="2" t="s">
        <v>54</v>
      </c>
      <c r="I201" s="2"/>
    </row>
    <row r="202" spans="1:9">
      <c r="A202" s="2" t="s">
        <v>259</v>
      </c>
      <c r="B202" s="4">
        <v>46304</v>
      </c>
      <c r="C202" s="4">
        <v>46304</v>
      </c>
      <c r="D202" s="2" t="s">
        <v>25</v>
      </c>
      <c r="E202" s="2" t="s">
        <v>43</v>
      </c>
      <c r="F202" s="2" t="s">
        <v>41</v>
      </c>
      <c r="G202" s="2" t="s">
        <v>28</v>
      </c>
      <c r="H202" s="2" t="s">
        <v>44</v>
      </c>
      <c r="I202" s="2"/>
    </row>
    <row r="203" spans="1:9">
      <c r="A203" s="2" t="s">
        <v>260</v>
      </c>
      <c r="B203" s="4">
        <v>46304</v>
      </c>
      <c r="C203" s="4">
        <v>46306</v>
      </c>
      <c r="D203" s="2" t="s">
        <v>25</v>
      </c>
      <c r="E203" s="2" t="s">
        <v>43</v>
      </c>
      <c r="F203" s="2" t="s">
        <v>38</v>
      </c>
      <c r="G203" s="2" t="s">
        <v>39</v>
      </c>
      <c r="H203" s="2" t="s">
        <v>54</v>
      </c>
      <c r="I203" s="2"/>
    </row>
    <row r="204" spans="1:9">
      <c r="A204" s="2" t="s">
        <v>261</v>
      </c>
      <c r="B204" s="4">
        <v>46305</v>
      </c>
      <c r="C204" s="4">
        <v>46305</v>
      </c>
      <c r="D204" s="2" t="s">
        <v>25</v>
      </c>
      <c r="E204" s="2" t="s">
        <v>43</v>
      </c>
      <c r="F204" s="2" t="s">
        <v>38</v>
      </c>
      <c r="G204" s="2" t="s">
        <v>28</v>
      </c>
      <c r="H204" s="2" t="s">
        <v>44</v>
      </c>
      <c r="I204" s="2"/>
    </row>
    <row r="205" spans="1:9">
      <c r="A205" s="2" t="s">
        <v>262</v>
      </c>
      <c r="B205" s="4">
        <v>46305</v>
      </c>
      <c r="C205" s="4">
        <v>46314</v>
      </c>
      <c r="D205" s="2" t="s">
        <v>25</v>
      </c>
      <c r="E205" s="2" t="s">
        <v>35</v>
      </c>
      <c r="F205" s="2" t="s">
        <v>41</v>
      </c>
      <c r="G205" s="2" t="s">
        <v>32</v>
      </c>
      <c r="H205" s="2" t="s">
        <v>29</v>
      </c>
      <c r="I205" s="2"/>
    </row>
    <row r="206" spans="1:9">
      <c r="A206" s="2" t="s">
        <v>263</v>
      </c>
      <c r="B206" s="4">
        <v>46305</v>
      </c>
      <c r="C206" s="4">
        <v>46315</v>
      </c>
      <c r="D206" s="2" t="s">
        <v>25</v>
      </c>
      <c r="E206" s="2" t="s">
        <v>35</v>
      </c>
      <c r="F206" s="2" t="s">
        <v>47</v>
      </c>
      <c r="G206" s="2" t="s">
        <v>39</v>
      </c>
      <c r="H206" s="2" t="s">
        <v>33</v>
      </c>
      <c r="I206" s="2"/>
    </row>
    <row r="207" spans="1:9">
      <c r="A207" s="2" t="s">
        <v>264</v>
      </c>
      <c r="B207" s="4">
        <v>46305</v>
      </c>
      <c r="C207" s="4">
        <v>46314</v>
      </c>
      <c r="D207" s="2" t="s">
        <v>25</v>
      </c>
      <c r="E207" s="2" t="s">
        <v>35</v>
      </c>
      <c r="F207" s="2" t="s">
        <v>31</v>
      </c>
      <c r="G207" s="2" t="s">
        <v>39</v>
      </c>
      <c r="H207" s="2" t="s">
        <v>54</v>
      </c>
      <c r="I207" s="2"/>
    </row>
    <row r="208" spans="1:9">
      <c r="A208" s="2" t="s">
        <v>265</v>
      </c>
      <c r="B208" s="4">
        <v>46305</v>
      </c>
      <c r="C208" s="4">
        <v>46306</v>
      </c>
      <c r="D208" s="2" t="s">
        <v>25</v>
      </c>
      <c r="E208" s="2" t="s">
        <v>266</v>
      </c>
      <c r="F208" s="2" t="s">
        <v>47</v>
      </c>
      <c r="G208" s="2" t="s">
        <v>39</v>
      </c>
      <c r="H208" s="2" t="s">
        <v>33</v>
      </c>
      <c r="I208" s="2"/>
    </row>
    <row r="209" spans="1:9">
      <c r="A209" s="2" t="s">
        <v>267</v>
      </c>
      <c r="B209" s="4">
        <v>46305</v>
      </c>
      <c r="C209" s="2"/>
      <c r="D209" s="2" t="s">
        <v>268</v>
      </c>
      <c r="E209" s="2" t="s">
        <v>35</v>
      </c>
      <c r="F209" s="2" t="s">
        <v>27</v>
      </c>
      <c r="G209" s="2" t="s">
        <v>28</v>
      </c>
      <c r="H209" s="2" t="s">
        <v>33</v>
      </c>
      <c r="I209" s="2" t="s">
        <v>55</v>
      </c>
    </row>
    <row r="210" spans="1:9">
      <c r="A210" s="2" t="s">
        <v>269</v>
      </c>
      <c r="B210" s="4">
        <v>46305</v>
      </c>
      <c r="C210" s="4">
        <v>46320</v>
      </c>
      <c r="D210" s="2" t="s">
        <v>25</v>
      </c>
      <c r="E210" s="2" t="s">
        <v>35</v>
      </c>
      <c r="F210" s="2" t="s">
        <v>38</v>
      </c>
      <c r="G210" s="2" t="s">
        <v>32</v>
      </c>
      <c r="H210" s="2" t="s">
        <v>44</v>
      </c>
      <c r="I210" s="2" t="s">
        <v>98</v>
      </c>
    </row>
    <row r="211" spans="1:9">
      <c r="A211" s="2" t="s">
        <v>270</v>
      </c>
      <c r="B211" s="4">
        <v>46305</v>
      </c>
      <c r="C211" s="4">
        <v>46307</v>
      </c>
      <c r="D211" s="2" t="s">
        <v>25</v>
      </c>
      <c r="E211" s="2" t="s">
        <v>26</v>
      </c>
      <c r="F211" s="2" t="s">
        <v>41</v>
      </c>
      <c r="G211" s="2" t="s">
        <v>28</v>
      </c>
      <c r="H211" s="2" t="s">
        <v>48</v>
      </c>
      <c r="I211" s="2"/>
    </row>
    <row r="212" spans="1:9">
      <c r="A212" s="2" t="s">
        <v>271</v>
      </c>
      <c r="B212" s="4">
        <v>46305</v>
      </c>
      <c r="C212" s="4">
        <v>46307</v>
      </c>
      <c r="D212" s="2" t="s">
        <v>25</v>
      </c>
      <c r="E212" s="2" t="s">
        <v>43</v>
      </c>
      <c r="F212" s="2" t="s">
        <v>47</v>
      </c>
      <c r="G212" s="2" t="s">
        <v>28</v>
      </c>
      <c r="H212" s="2" t="s">
        <v>29</v>
      </c>
      <c r="I212" s="2"/>
    </row>
    <row r="213" spans="1:9">
      <c r="A213" s="2" t="s">
        <v>272</v>
      </c>
      <c r="B213" s="4">
        <v>46306</v>
      </c>
      <c r="C213" s="4">
        <v>46308</v>
      </c>
      <c r="D213" s="2" t="s">
        <v>25</v>
      </c>
      <c r="E213" s="2" t="s">
        <v>26</v>
      </c>
      <c r="F213" s="2" t="s">
        <v>27</v>
      </c>
      <c r="G213" s="2" t="s">
        <v>39</v>
      </c>
      <c r="H213" s="2" t="s">
        <v>29</v>
      </c>
      <c r="I213" s="2"/>
    </row>
    <row r="214" spans="1:9">
      <c r="A214" s="2" t="s">
        <v>273</v>
      </c>
      <c r="B214" s="4">
        <v>46306</v>
      </c>
      <c r="C214" s="4">
        <v>46313</v>
      </c>
      <c r="D214" s="2" t="s">
        <v>25</v>
      </c>
      <c r="E214" s="2" t="s">
        <v>35</v>
      </c>
      <c r="F214" s="2" t="s">
        <v>38</v>
      </c>
      <c r="G214" s="2" t="s">
        <v>32</v>
      </c>
      <c r="H214" s="2" t="s">
        <v>54</v>
      </c>
      <c r="I214" s="2"/>
    </row>
    <row r="215" spans="1:9">
      <c r="A215" s="2" t="s">
        <v>274</v>
      </c>
      <c r="B215" s="4">
        <v>46306</v>
      </c>
      <c r="C215" s="4">
        <v>46312</v>
      </c>
      <c r="D215" s="2" t="s">
        <v>25</v>
      </c>
      <c r="E215" s="2" t="s">
        <v>35</v>
      </c>
      <c r="F215" s="2" t="s">
        <v>27</v>
      </c>
      <c r="G215" s="2" t="s">
        <v>39</v>
      </c>
      <c r="H215" s="2" t="s">
        <v>29</v>
      </c>
      <c r="I215" s="2"/>
    </row>
    <row r="216" spans="1:9">
      <c r="A216" s="2" t="s">
        <v>275</v>
      </c>
      <c r="B216" s="4">
        <v>46306</v>
      </c>
      <c r="C216" s="4">
        <v>46307</v>
      </c>
      <c r="D216" s="2" t="s">
        <v>25</v>
      </c>
      <c r="E216" s="2" t="s">
        <v>43</v>
      </c>
      <c r="F216" s="2" t="s">
        <v>38</v>
      </c>
      <c r="G216" s="2" t="s">
        <v>28</v>
      </c>
      <c r="H216" s="2" t="s">
        <v>54</v>
      </c>
      <c r="I216" s="2"/>
    </row>
    <row r="217" spans="1:9">
      <c r="A217" s="2" t="s">
        <v>276</v>
      </c>
      <c r="B217" s="4">
        <v>46306</v>
      </c>
      <c r="C217" s="4">
        <v>46319</v>
      </c>
      <c r="D217" s="2" t="s">
        <v>25</v>
      </c>
      <c r="E217" s="2" t="s">
        <v>35</v>
      </c>
      <c r="F217" s="2" t="s">
        <v>27</v>
      </c>
      <c r="G217" s="2" t="s">
        <v>32</v>
      </c>
      <c r="H217" s="2" t="s">
        <v>48</v>
      </c>
      <c r="I217" s="2" t="s">
        <v>55</v>
      </c>
    </row>
    <row r="218" spans="1:9">
      <c r="A218" s="2" t="s">
        <v>277</v>
      </c>
      <c r="B218" s="4">
        <v>46306</v>
      </c>
      <c r="C218" s="4">
        <v>46315</v>
      </c>
      <c r="D218" s="2" t="s">
        <v>25</v>
      </c>
      <c r="E218" s="2" t="s">
        <v>35</v>
      </c>
      <c r="F218" s="2" t="s">
        <v>31</v>
      </c>
      <c r="G218" s="2" t="s">
        <v>39</v>
      </c>
      <c r="H218" s="2" t="s">
        <v>33</v>
      </c>
      <c r="I218" s="2"/>
    </row>
    <row r="219" spans="1:9">
      <c r="A219" s="2" t="s">
        <v>278</v>
      </c>
      <c r="B219" s="4">
        <v>46306</v>
      </c>
      <c r="C219" s="4">
        <v>46307</v>
      </c>
      <c r="D219" s="2" t="s">
        <v>25</v>
      </c>
      <c r="E219" s="2" t="s">
        <v>26</v>
      </c>
      <c r="F219" s="2" t="s">
        <v>41</v>
      </c>
      <c r="G219" s="2" t="s">
        <v>39</v>
      </c>
      <c r="H219" s="2" t="s">
        <v>44</v>
      </c>
      <c r="I219" s="2"/>
    </row>
    <row r="220" spans="1:9">
      <c r="A220" s="2" t="s">
        <v>279</v>
      </c>
      <c r="B220" s="4">
        <v>46306</v>
      </c>
      <c r="C220" s="4">
        <v>46311</v>
      </c>
      <c r="D220" s="2" t="s">
        <v>25</v>
      </c>
      <c r="E220" s="2" t="s">
        <v>26</v>
      </c>
      <c r="F220" s="2" t="s">
        <v>47</v>
      </c>
      <c r="G220" s="2" t="s">
        <v>32</v>
      </c>
      <c r="H220" s="2" t="s">
        <v>36</v>
      </c>
      <c r="I220" s="2"/>
    </row>
    <row r="221" spans="1:9">
      <c r="A221" s="2" t="s">
        <v>280</v>
      </c>
      <c r="B221" s="4">
        <v>46306</v>
      </c>
      <c r="C221" s="4">
        <v>46315</v>
      </c>
      <c r="D221" s="2" t="s">
        <v>25</v>
      </c>
      <c r="E221" s="2" t="s">
        <v>26</v>
      </c>
      <c r="F221" s="2" t="s">
        <v>31</v>
      </c>
      <c r="G221" s="2" t="s">
        <v>32</v>
      </c>
      <c r="H221" s="2" t="s">
        <v>33</v>
      </c>
      <c r="I221" s="2" t="s">
        <v>194</v>
      </c>
    </row>
    <row r="222" spans="1:9">
      <c r="A222" s="2" t="s">
        <v>281</v>
      </c>
      <c r="B222" s="4">
        <v>46307</v>
      </c>
      <c r="C222" s="4">
        <v>46312</v>
      </c>
      <c r="D222" s="2" t="s">
        <v>25</v>
      </c>
      <c r="E222" s="2" t="s">
        <v>26</v>
      </c>
      <c r="F222" s="2" t="s">
        <v>27</v>
      </c>
      <c r="G222" s="2" t="s">
        <v>28</v>
      </c>
      <c r="H222" s="2" t="s">
        <v>29</v>
      </c>
      <c r="I222" s="2"/>
    </row>
    <row r="223" spans="1:9">
      <c r="A223" s="2" t="s">
        <v>282</v>
      </c>
      <c r="B223" s="4">
        <v>46307</v>
      </c>
      <c r="C223" s="4">
        <v>46310</v>
      </c>
      <c r="D223" s="2" t="s">
        <v>25</v>
      </c>
      <c r="E223" s="2" t="s">
        <v>26</v>
      </c>
      <c r="F223" s="2" t="s">
        <v>31</v>
      </c>
      <c r="G223" s="2" t="s">
        <v>39</v>
      </c>
      <c r="H223" s="2" t="s">
        <v>48</v>
      </c>
      <c r="I223" s="2"/>
    </row>
    <row r="224" spans="1:9">
      <c r="A224" s="2" t="s">
        <v>283</v>
      </c>
      <c r="B224" s="4">
        <v>46307</v>
      </c>
      <c r="C224" s="4">
        <v>46309</v>
      </c>
      <c r="D224" s="2" t="s">
        <v>25</v>
      </c>
      <c r="E224" s="2" t="s">
        <v>26</v>
      </c>
      <c r="F224" s="2" t="s">
        <v>47</v>
      </c>
      <c r="G224" s="2" t="s">
        <v>32</v>
      </c>
      <c r="H224" s="2" t="s">
        <v>36</v>
      </c>
      <c r="I224" s="2"/>
    </row>
    <row r="225" spans="1:9">
      <c r="A225" s="2" t="s">
        <v>284</v>
      </c>
      <c r="B225" s="4">
        <v>46307</v>
      </c>
      <c r="C225" s="4">
        <v>46309</v>
      </c>
      <c r="D225" s="2" t="s">
        <v>25</v>
      </c>
      <c r="E225" s="2" t="s">
        <v>26</v>
      </c>
      <c r="F225" s="2" t="s">
        <v>47</v>
      </c>
      <c r="G225" s="2" t="s">
        <v>28</v>
      </c>
      <c r="H225" s="2" t="s">
        <v>54</v>
      </c>
      <c r="I225" s="2"/>
    </row>
    <row r="226" spans="1:9">
      <c r="A226" s="2" t="s">
        <v>285</v>
      </c>
      <c r="B226" s="4">
        <v>46307</v>
      </c>
      <c r="C226" s="4">
        <v>46311</v>
      </c>
      <c r="D226" s="2" t="s">
        <v>25</v>
      </c>
      <c r="E226" s="2" t="s">
        <v>26</v>
      </c>
      <c r="F226" s="2" t="s">
        <v>47</v>
      </c>
      <c r="G226" s="2" t="s">
        <v>28</v>
      </c>
      <c r="H226" s="2" t="s">
        <v>36</v>
      </c>
      <c r="I226" s="2"/>
    </row>
    <row r="227" spans="1:9">
      <c r="A227" s="2" t="s">
        <v>286</v>
      </c>
      <c r="B227" s="4">
        <v>46308</v>
      </c>
      <c r="C227" s="4">
        <v>46305</v>
      </c>
      <c r="D227" s="2" t="s">
        <v>25</v>
      </c>
      <c r="E227" s="2" t="s">
        <v>35</v>
      </c>
      <c r="F227" s="2" t="s">
        <v>41</v>
      </c>
      <c r="G227" s="2" t="s">
        <v>32</v>
      </c>
      <c r="H227" s="2" t="s">
        <v>44</v>
      </c>
      <c r="I227" s="2"/>
    </row>
    <row r="228" spans="1:9">
      <c r="A228" s="2" t="s">
        <v>287</v>
      </c>
      <c r="B228" s="4">
        <v>46308</v>
      </c>
      <c r="C228" s="4">
        <v>46312</v>
      </c>
      <c r="D228" s="2" t="s">
        <v>25</v>
      </c>
      <c r="E228" s="2" t="s">
        <v>26</v>
      </c>
      <c r="F228" s="2" t="s">
        <v>31</v>
      </c>
      <c r="G228" s="2" t="s">
        <v>28</v>
      </c>
      <c r="H228" s="2" t="s">
        <v>33</v>
      </c>
      <c r="I228" s="2"/>
    </row>
    <row r="229" spans="1:9">
      <c r="A229" s="2" t="s">
        <v>288</v>
      </c>
      <c r="B229" s="4">
        <v>46308</v>
      </c>
      <c r="C229" s="4">
        <v>46313</v>
      </c>
      <c r="D229" s="2" t="s">
        <v>25</v>
      </c>
      <c r="E229" s="2" t="s">
        <v>26</v>
      </c>
      <c r="F229" s="2" t="s">
        <v>31</v>
      </c>
      <c r="G229" s="2" t="s">
        <v>39</v>
      </c>
      <c r="H229" s="2" t="s">
        <v>33</v>
      </c>
      <c r="I229" s="2"/>
    </row>
    <row r="230" spans="1:9">
      <c r="A230" s="2" t="s">
        <v>289</v>
      </c>
      <c r="B230" s="4">
        <v>46308</v>
      </c>
      <c r="C230" s="4">
        <v>46309</v>
      </c>
      <c r="D230" s="2" t="s">
        <v>25</v>
      </c>
      <c r="E230" s="2" t="s">
        <v>26</v>
      </c>
      <c r="F230" s="2" t="s">
        <v>27</v>
      </c>
      <c r="G230" s="2" t="s">
        <v>39</v>
      </c>
      <c r="H230" s="2" t="s">
        <v>36</v>
      </c>
      <c r="I230" s="2"/>
    </row>
    <row r="231" spans="1:9">
      <c r="A231" s="2" t="s">
        <v>290</v>
      </c>
      <c r="B231" s="4">
        <v>46308</v>
      </c>
      <c r="C231" s="4">
        <v>46310</v>
      </c>
      <c r="D231" s="2" t="s">
        <v>25</v>
      </c>
      <c r="E231" s="2" t="s">
        <v>43</v>
      </c>
      <c r="F231" s="2" t="s">
        <v>31</v>
      </c>
      <c r="G231" s="2" t="s">
        <v>39</v>
      </c>
      <c r="H231" s="2" t="s">
        <v>44</v>
      </c>
      <c r="I231" s="2"/>
    </row>
    <row r="232" spans="1:9">
      <c r="A232" s="2" t="s">
        <v>291</v>
      </c>
      <c r="B232" s="4">
        <v>46309</v>
      </c>
      <c r="C232" s="4">
        <v>46310</v>
      </c>
      <c r="D232" s="2" t="s">
        <v>25</v>
      </c>
      <c r="E232" s="2" t="s">
        <v>26</v>
      </c>
      <c r="F232" s="2" t="s">
        <v>47</v>
      </c>
      <c r="G232" s="2" t="s">
        <v>32</v>
      </c>
      <c r="H232" s="2" t="s">
        <v>36</v>
      </c>
      <c r="I232" s="2"/>
    </row>
    <row r="233" spans="1:9">
      <c r="A233" s="2" t="s">
        <v>291</v>
      </c>
      <c r="B233" s="4">
        <v>46309</v>
      </c>
      <c r="C233" s="4">
        <v>46310</v>
      </c>
      <c r="D233" s="2" t="s">
        <v>25</v>
      </c>
      <c r="E233" s="2" t="s">
        <v>26</v>
      </c>
      <c r="F233" s="2" t="s">
        <v>47</v>
      </c>
      <c r="G233" s="2" t="s">
        <v>32</v>
      </c>
      <c r="H233" s="2" t="s">
        <v>36</v>
      </c>
      <c r="I233" s="2"/>
    </row>
    <row r="234" spans="1:9">
      <c r="A234" s="2" t="s">
        <v>292</v>
      </c>
      <c r="B234" s="4">
        <v>46309</v>
      </c>
      <c r="C234" s="4">
        <v>46315</v>
      </c>
      <c r="D234" s="2" t="s">
        <v>25</v>
      </c>
      <c r="E234" s="2" t="s">
        <v>35</v>
      </c>
      <c r="F234" s="2" t="s">
        <v>41</v>
      </c>
      <c r="G234" s="2" t="s">
        <v>32</v>
      </c>
      <c r="H234" s="2" t="s">
        <v>48</v>
      </c>
      <c r="I234" s="2"/>
    </row>
    <row r="235" spans="1:9">
      <c r="A235" s="2" t="s">
        <v>293</v>
      </c>
      <c r="B235" s="4">
        <v>46309</v>
      </c>
      <c r="C235" s="4">
        <v>46310</v>
      </c>
      <c r="D235" s="2" t="s">
        <v>25</v>
      </c>
      <c r="E235" s="2" t="s">
        <v>26</v>
      </c>
      <c r="F235" s="2" t="s">
        <v>31</v>
      </c>
      <c r="G235" s="2" t="s">
        <v>39</v>
      </c>
      <c r="H235" s="2" t="s">
        <v>36</v>
      </c>
      <c r="I235" s="2"/>
    </row>
    <row r="236" spans="1:9">
      <c r="A236" s="2" t="s">
        <v>294</v>
      </c>
      <c r="B236" s="4">
        <v>46309</v>
      </c>
      <c r="C236" s="4">
        <v>46319</v>
      </c>
      <c r="D236" s="2" t="s">
        <v>25</v>
      </c>
      <c r="E236" s="2" t="s">
        <v>35</v>
      </c>
      <c r="F236" s="2" t="s">
        <v>38</v>
      </c>
      <c r="G236" s="2" t="s">
        <v>32</v>
      </c>
      <c r="H236" s="2" t="s">
        <v>33</v>
      </c>
      <c r="I236" s="2"/>
    </row>
    <row r="237" spans="1:9">
      <c r="A237" s="2" t="s">
        <v>295</v>
      </c>
      <c r="B237" s="4">
        <v>46309</v>
      </c>
      <c r="C237" s="4">
        <v>46320</v>
      </c>
      <c r="D237" s="2" t="s">
        <v>25</v>
      </c>
      <c r="E237" s="2" t="s">
        <v>26</v>
      </c>
      <c r="F237" s="2" t="s">
        <v>31</v>
      </c>
      <c r="G237" s="2" t="s">
        <v>39</v>
      </c>
      <c r="H237" s="2" t="s">
        <v>44</v>
      </c>
      <c r="I237" s="2" t="s">
        <v>52</v>
      </c>
    </row>
    <row r="238" spans="1:9">
      <c r="A238" s="2" t="s">
        <v>296</v>
      </c>
      <c r="B238" s="4">
        <v>46310</v>
      </c>
      <c r="C238" s="2"/>
      <c r="D238" s="2" t="s">
        <v>268</v>
      </c>
      <c r="E238" s="2" t="s">
        <v>26</v>
      </c>
      <c r="F238" s="2" t="s">
        <v>31</v>
      </c>
      <c r="G238" s="2" t="s">
        <v>39</v>
      </c>
      <c r="H238" s="2" t="s">
        <v>44</v>
      </c>
      <c r="I238" s="2" t="s">
        <v>55</v>
      </c>
    </row>
    <row r="239" spans="1:9">
      <c r="A239" s="2" t="s">
        <v>297</v>
      </c>
      <c r="B239" s="4">
        <v>46310</v>
      </c>
      <c r="C239" s="4">
        <v>46315</v>
      </c>
      <c r="D239" s="2" t="s">
        <v>25</v>
      </c>
      <c r="E239" s="2" t="s">
        <v>26</v>
      </c>
      <c r="F239" s="2" t="s">
        <v>31</v>
      </c>
      <c r="G239" s="2" t="s">
        <v>32</v>
      </c>
      <c r="H239" s="2" t="s">
        <v>29</v>
      </c>
      <c r="I239" s="2"/>
    </row>
    <row r="240" spans="1:9">
      <c r="A240" s="2" t="s">
        <v>298</v>
      </c>
      <c r="B240" s="4">
        <v>46310</v>
      </c>
      <c r="C240" s="4">
        <v>46317</v>
      </c>
      <c r="D240" s="2" t="s">
        <v>25</v>
      </c>
      <c r="E240" s="2" t="s">
        <v>35</v>
      </c>
      <c r="F240" s="2" t="s">
        <v>47</v>
      </c>
      <c r="G240" s="2" t="s">
        <v>39</v>
      </c>
      <c r="H240" s="2" t="s">
        <v>44</v>
      </c>
      <c r="I240" s="2"/>
    </row>
    <row r="241" spans="1:9">
      <c r="A241" s="2" t="s">
        <v>299</v>
      </c>
      <c r="B241" s="4">
        <v>46310</v>
      </c>
      <c r="C241" s="4">
        <v>46309</v>
      </c>
      <c r="D241" s="2" t="s">
        <v>25</v>
      </c>
      <c r="E241" s="2" t="s">
        <v>26</v>
      </c>
      <c r="F241" s="2" t="s">
        <v>41</v>
      </c>
      <c r="G241" s="2" t="s">
        <v>32</v>
      </c>
      <c r="H241" s="2" t="s">
        <v>54</v>
      </c>
      <c r="I241" s="2"/>
    </row>
    <row r="242" spans="1:9">
      <c r="A242" s="2" t="s">
        <v>300</v>
      </c>
      <c r="B242" s="4">
        <v>46310</v>
      </c>
      <c r="C242" s="4">
        <v>46318</v>
      </c>
      <c r="D242" s="2" t="s">
        <v>25</v>
      </c>
      <c r="E242" s="2" t="s">
        <v>35</v>
      </c>
      <c r="F242" s="2" t="s">
        <v>47</v>
      </c>
      <c r="G242" s="2" t="s">
        <v>32</v>
      </c>
      <c r="H242" s="2" t="s">
        <v>33</v>
      </c>
      <c r="I242" s="2"/>
    </row>
    <row r="243" spans="1:9">
      <c r="A243" s="2" t="s">
        <v>301</v>
      </c>
      <c r="B243" s="4">
        <v>46310</v>
      </c>
      <c r="C243" s="4">
        <v>46314</v>
      </c>
      <c r="D243" s="2" t="s">
        <v>25</v>
      </c>
      <c r="E243" s="2" t="s">
        <v>26</v>
      </c>
      <c r="F243" s="2" t="s">
        <v>27</v>
      </c>
      <c r="G243" s="2" t="s">
        <v>32</v>
      </c>
      <c r="H243" s="2" t="s">
        <v>44</v>
      </c>
      <c r="I243" s="2"/>
    </row>
    <row r="244" spans="1:9">
      <c r="A244" s="2" t="s">
        <v>302</v>
      </c>
      <c r="B244" s="4">
        <v>46311</v>
      </c>
      <c r="C244" s="4">
        <v>46318</v>
      </c>
      <c r="D244" s="2" t="s">
        <v>25</v>
      </c>
      <c r="E244" s="2" t="s">
        <v>35</v>
      </c>
      <c r="F244" s="2" t="s">
        <v>47</v>
      </c>
      <c r="G244" s="2" t="s">
        <v>39</v>
      </c>
      <c r="H244" s="2" t="s">
        <v>44</v>
      </c>
      <c r="I244" s="2"/>
    </row>
    <row r="245" spans="1:9">
      <c r="A245" s="2" t="s">
        <v>303</v>
      </c>
      <c r="B245" s="4">
        <v>46311</v>
      </c>
      <c r="C245" s="4">
        <v>46316</v>
      </c>
      <c r="D245" s="2" t="s">
        <v>25</v>
      </c>
      <c r="E245" s="2" t="s">
        <v>26</v>
      </c>
      <c r="F245" s="2" t="s">
        <v>47</v>
      </c>
      <c r="G245" s="2" t="s">
        <v>32</v>
      </c>
      <c r="H245" s="2" t="s">
        <v>29</v>
      </c>
      <c r="I245" s="2"/>
    </row>
    <row r="246" spans="1:9">
      <c r="A246" s="2" t="s">
        <v>304</v>
      </c>
      <c r="B246" s="4">
        <v>46311</v>
      </c>
      <c r="C246" s="4">
        <v>46313</v>
      </c>
      <c r="D246" s="2" t="s">
        <v>25</v>
      </c>
      <c r="E246" s="2" t="s">
        <v>43</v>
      </c>
      <c r="F246" s="2" t="s">
        <v>47</v>
      </c>
      <c r="G246" s="2" t="s">
        <v>28</v>
      </c>
      <c r="H246" s="2" t="s">
        <v>54</v>
      </c>
      <c r="I246" s="2"/>
    </row>
    <row r="247" spans="1:9">
      <c r="A247" s="2" t="s">
        <v>305</v>
      </c>
      <c r="B247" s="4">
        <v>46312</v>
      </c>
      <c r="C247" s="2"/>
      <c r="D247" s="2" t="s">
        <v>268</v>
      </c>
      <c r="E247" s="2" t="s">
        <v>26</v>
      </c>
      <c r="F247" s="2" t="s">
        <v>38</v>
      </c>
      <c r="G247" s="2" t="s">
        <v>28</v>
      </c>
      <c r="H247" s="2" t="s">
        <v>29</v>
      </c>
      <c r="I247" s="2" t="s">
        <v>60</v>
      </c>
    </row>
    <row r="248" spans="1:9">
      <c r="A248" s="2" t="s">
        <v>306</v>
      </c>
      <c r="B248" s="4">
        <v>46312</v>
      </c>
      <c r="C248" s="4">
        <v>46319</v>
      </c>
      <c r="D248" s="2" t="s">
        <v>25</v>
      </c>
      <c r="E248" s="2" t="s">
        <v>35</v>
      </c>
      <c r="F248" s="2" t="s">
        <v>38</v>
      </c>
      <c r="G248" s="2" t="s">
        <v>39</v>
      </c>
      <c r="H248" s="2" t="s">
        <v>29</v>
      </c>
      <c r="I248" s="2"/>
    </row>
    <row r="249" spans="1:9">
      <c r="A249" s="2" t="s">
        <v>307</v>
      </c>
      <c r="B249" s="4">
        <v>46312</v>
      </c>
      <c r="C249" s="2"/>
      <c r="D249" s="2" t="s">
        <v>268</v>
      </c>
      <c r="E249" s="2" t="s">
        <v>35</v>
      </c>
      <c r="F249" s="2" t="s">
        <v>27</v>
      </c>
      <c r="G249" s="2" t="s">
        <v>28</v>
      </c>
      <c r="H249" s="2" t="s">
        <v>54</v>
      </c>
      <c r="I249" s="2"/>
    </row>
    <row r="250" spans="1:9">
      <c r="A250" s="2" t="s">
        <v>308</v>
      </c>
      <c r="B250" s="4">
        <v>46312</v>
      </c>
      <c r="C250" s="2"/>
      <c r="D250" s="2" t="s">
        <v>268</v>
      </c>
      <c r="E250" s="2" t="s">
        <v>26</v>
      </c>
      <c r="F250" s="2" t="s">
        <v>31</v>
      </c>
      <c r="G250" s="2" t="s">
        <v>28</v>
      </c>
      <c r="H250" s="2" t="s">
        <v>44</v>
      </c>
      <c r="I250" s="2" t="s">
        <v>60</v>
      </c>
    </row>
    <row r="251" spans="1:9">
      <c r="A251" s="2" t="s">
        <v>309</v>
      </c>
      <c r="B251" s="4">
        <v>46312</v>
      </c>
      <c r="C251" s="4">
        <v>46313</v>
      </c>
      <c r="D251" s="2" t="s">
        <v>25</v>
      </c>
      <c r="E251" s="2" t="s">
        <v>26</v>
      </c>
      <c r="F251" s="2" t="s">
        <v>47</v>
      </c>
      <c r="G251" s="2" t="s">
        <v>39</v>
      </c>
      <c r="H251" s="2" t="s">
        <v>36</v>
      </c>
      <c r="I251" s="2"/>
    </row>
    <row r="252" spans="1:9">
      <c r="A252" s="2" t="s">
        <v>310</v>
      </c>
      <c r="B252" s="4">
        <v>46313</v>
      </c>
      <c r="C252" s="4">
        <v>46314</v>
      </c>
      <c r="D252" s="2" t="s">
        <v>25</v>
      </c>
      <c r="E252" s="2" t="s">
        <v>43</v>
      </c>
      <c r="F252" s="2" t="s">
        <v>27</v>
      </c>
      <c r="G252" s="2" t="s">
        <v>28</v>
      </c>
      <c r="H252" s="2"/>
      <c r="I252" s="2"/>
    </row>
    <row r="253" spans="1:9">
      <c r="A253" s="2" t="s">
        <v>311</v>
      </c>
      <c r="B253" s="4">
        <v>46313</v>
      </c>
      <c r="C253" s="2"/>
      <c r="D253" s="2" t="s">
        <v>268</v>
      </c>
      <c r="E253" s="2" t="s">
        <v>35</v>
      </c>
      <c r="F253" s="2" t="s">
        <v>41</v>
      </c>
      <c r="G253" s="2" t="s">
        <v>39</v>
      </c>
      <c r="H253" s="2" t="s">
        <v>48</v>
      </c>
      <c r="I253" s="2"/>
    </row>
    <row r="254" spans="1:9">
      <c r="A254" s="2" t="s">
        <v>312</v>
      </c>
      <c r="B254" s="4">
        <v>46313</v>
      </c>
      <c r="C254" s="4">
        <v>46318</v>
      </c>
      <c r="D254" s="2" t="s">
        <v>25</v>
      </c>
      <c r="E254" s="2" t="s">
        <v>26</v>
      </c>
      <c r="F254" s="2" t="s">
        <v>27</v>
      </c>
      <c r="G254" s="2" t="s">
        <v>28</v>
      </c>
      <c r="H254" s="2" t="s">
        <v>33</v>
      </c>
      <c r="I254" s="2"/>
    </row>
    <row r="255" spans="1:9">
      <c r="A255" s="2" t="s">
        <v>313</v>
      </c>
      <c r="B255" s="4">
        <v>46313</v>
      </c>
      <c r="C255" s="4">
        <v>46317</v>
      </c>
      <c r="D255" s="2" t="s">
        <v>25</v>
      </c>
      <c r="E255" s="2" t="s">
        <v>26</v>
      </c>
      <c r="F255" s="2" t="s">
        <v>47</v>
      </c>
      <c r="G255" s="2" t="s">
        <v>32</v>
      </c>
      <c r="H255" s="2" t="s">
        <v>44</v>
      </c>
      <c r="I255" s="2"/>
    </row>
    <row r="256" spans="1:9">
      <c r="A256" s="2" t="s">
        <v>314</v>
      </c>
      <c r="B256" s="4">
        <v>46313</v>
      </c>
      <c r="C256" s="2"/>
      <c r="D256" s="2" t="s">
        <v>268</v>
      </c>
      <c r="E256" s="2" t="s">
        <v>35</v>
      </c>
      <c r="F256" s="2" t="s">
        <v>31</v>
      </c>
      <c r="G256" s="2" t="s">
        <v>28</v>
      </c>
      <c r="H256" s="2" t="s">
        <v>48</v>
      </c>
      <c r="I256" s="2"/>
    </row>
    <row r="257" spans="1:9">
      <c r="A257" s="2" t="s">
        <v>315</v>
      </c>
      <c r="B257" s="4">
        <v>46313</v>
      </c>
      <c r="C257" s="4">
        <v>46320</v>
      </c>
      <c r="D257" s="2" t="s">
        <v>25</v>
      </c>
      <c r="E257" s="2" t="s">
        <v>26</v>
      </c>
      <c r="F257" s="2" t="s">
        <v>31</v>
      </c>
      <c r="G257" s="2" t="s">
        <v>39</v>
      </c>
      <c r="H257" s="2"/>
      <c r="I257" s="2" t="s">
        <v>55</v>
      </c>
    </row>
    <row r="258" spans="1:9">
      <c r="A258" s="2" t="s">
        <v>316</v>
      </c>
      <c r="B258" s="4">
        <v>46313</v>
      </c>
      <c r="C258" s="2"/>
      <c r="D258" s="2" t="s">
        <v>268</v>
      </c>
      <c r="E258" s="2" t="s">
        <v>35</v>
      </c>
      <c r="F258" s="2" t="s">
        <v>31</v>
      </c>
      <c r="G258" s="2" t="s">
        <v>28</v>
      </c>
      <c r="H258" s="2" t="s">
        <v>54</v>
      </c>
      <c r="I258" s="2"/>
    </row>
    <row r="259" spans="1:9">
      <c r="A259" s="2" t="s">
        <v>317</v>
      </c>
      <c r="B259" s="4">
        <v>46313</v>
      </c>
      <c r="C259" s="4">
        <v>46315</v>
      </c>
      <c r="D259" s="2" t="s">
        <v>25</v>
      </c>
      <c r="E259" s="2" t="s">
        <v>26</v>
      </c>
      <c r="F259" s="2" t="s">
        <v>47</v>
      </c>
      <c r="G259" s="2" t="s">
        <v>28</v>
      </c>
      <c r="H259" s="2" t="s">
        <v>29</v>
      </c>
      <c r="I259" s="2"/>
    </row>
    <row r="260" spans="1:9">
      <c r="A260" s="2" t="s">
        <v>318</v>
      </c>
      <c r="B260" s="4">
        <v>46313</v>
      </c>
      <c r="C260" s="2"/>
      <c r="D260" s="2" t="s">
        <v>268</v>
      </c>
      <c r="E260" s="2" t="s">
        <v>35</v>
      </c>
      <c r="F260" s="2" t="s">
        <v>31</v>
      </c>
      <c r="G260" s="2" t="s">
        <v>39</v>
      </c>
      <c r="H260" s="2" t="s">
        <v>48</v>
      </c>
      <c r="I260" s="2"/>
    </row>
    <row r="261" spans="1:9">
      <c r="A261" s="2" t="s">
        <v>319</v>
      </c>
      <c r="B261" s="4">
        <v>46313</v>
      </c>
      <c r="C261" s="2"/>
      <c r="D261" s="2" t="s">
        <v>268</v>
      </c>
      <c r="E261" s="2" t="s">
        <v>35</v>
      </c>
      <c r="F261" s="2" t="s">
        <v>41</v>
      </c>
      <c r="G261" s="2" t="s">
        <v>39</v>
      </c>
      <c r="H261" s="2" t="s">
        <v>33</v>
      </c>
      <c r="I261" s="2"/>
    </row>
    <row r="262" spans="1:9">
      <c r="A262" s="2" t="s">
        <v>320</v>
      </c>
      <c r="B262" s="4">
        <v>46313</v>
      </c>
      <c r="C262" s="2"/>
      <c r="D262" s="2" t="s">
        <v>268</v>
      </c>
      <c r="E262" s="2" t="s">
        <v>35</v>
      </c>
      <c r="F262" s="2" t="s">
        <v>47</v>
      </c>
      <c r="G262" s="2" t="s">
        <v>39</v>
      </c>
      <c r="H262" s="2" t="s">
        <v>29</v>
      </c>
      <c r="I262" s="2"/>
    </row>
    <row r="263" spans="1:9">
      <c r="A263" s="2" t="s">
        <v>321</v>
      </c>
      <c r="B263" s="4">
        <v>46313</v>
      </c>
      <c r="C263" s="4">
        <v>46315</v>
      </c>
      <c r="D263" s="2" t="s">
        <v>25</v>
      </c>
      <c r="E263" s="2" t="s">
        <v>26</v>
      </c>
      <c r="F263" s="2" t="s">
        <v>31</v>
      </c>
      <c r="G263" s="2" t="s">
        <v>28</v>
      </c>
      <c r="H263" s="2" t="s">
        <v>54</v>
      </c>
      <c r="I263" s="2"/>
    </row>
    <row r="264" spans="1:9">
      <c r="A264" s="2" t="s">
        <v>322</v>
      </c>
      <c r="B264" s="4">
        <v>46313</v>
      </c>
      <c r="C264" s="4">
        <v>46317</v>
      </c>
      <c r="D264" s="2" t="s">
        <v>25</v>
      </c>
      <c r="E264" s="2" t="s">
        <v>26</v>
      </c>
      <c r="F264" s="2" t="s">
        <v>41</v>
      </c>
      <c r="G264" s="2" t="s">
        <v>32</v>
      </c>
      <c r="H264" s="2" t="s">
        <v>36</v>
      </c>
      <c r="I264" s="2"/>
    </row>
    <row r="265" spans="1:9">
      <c r="A265" s="2" t="s">
        <v>323</v>
      </c>
      <c r="B265" s="4">
        <v>46313</v>
      </c>
      <c r="C265" s="2"/>
      <c r="D265" s="2" t="s">
        <v>268</v>
      </c>
      <c r="E265" s="2" t="s">
        <v>26</v>
      </c>
      <c r="F265" s="2" t="s">
        <v>31</v>
      </c>
      <c r="G265" s="2" t="s">
        <v>28</v>
      </c>
      <c r="H265" s="2" t="s">
        <v>36</v>
      </c>
      <c r="I265" s="2" t="s">
        <v>55</v>
      </c>
    </row>
    <row r="266" spans="1:9">
      <c r="A266" s="2" t="s">
        <v>324</v>
      </c>
      <c r="B266" s="4">
        <v>46313</v>
      </c>
      <c r="C266" s="4">
        <v>46313</v>
      </c>
      <c r="D266" s="2" t="s">
        <v>25</v>
      </c>
      <c r="E266" s="2" t="s">
        <v>43</v>
      </c>
      <c r="F266" s="2" t="s">
        <v>41</v>
      </c>
      <c r="G266" s="2" t="s">
        <v>32</v>
      </c>
      <c r="H266" s="2" t="s">
        <v>44</v>
      </c>
      <c r="I266" s="2"/>
    </row>
    <row r="267" spans="1:9">
      <c r="A267" s="2" t="s">
        <v>325</v>
      </c>
      <c r="B267" s="4">
        <v>46314</v>
      </c>
      <c r="C267" s="4">
        <v>46318</v>
      </c>
      <c r="D267" s="2" t="s">
        <v>25</v>
      </c>
      <c r="E267" s="2" t="s">
        <v>43</v>
      </c>
      <c r="F267" s="2" t="s">
        <v>27</v>
      </c>
      <c r="G267" s="2" t="s">
        <v>28</v>
      </c>
      <c r="H267" s="2" t="s">
        <v>36</v>
      </c>
      <c r="I267" s="2" t="s">
        <v>98</v>
      </c>
    </row>
    <row r="268" spans="1:9">
      <c r="A268" s="2" t="s">
        <v>326</v>
      </c>
      <c r="B268" s="4">
        <v>46314</v>
      </c>
      <c r="C268" s="2"/>
      <c r="D268" s="2" t="s">
        <v>268</v>
      </c>
      <c r="E268" s="2" t="s">
        <v>35</v>
      </c>
      <c r="F268" s="2" t="s">
        <v>27</v>
      </c>
      <c r="G268" s="2" t="s">
        <v>39</v>
      </c>
      <c r="H268" s="2" t="s">
        <v>36</v>
      </c>
      <c r="I268" s="2"/>
    </row>
    <row r="269" spans="1:9">
      <c r="A269" s="2" t="s">
        <v>327</v>
      </c>
      <c r="B269" s="4">
        <v>46314</v>
      </c>
      <c r="C269" s="4">
        <v>46320</v>
      </c>
      <c r="D269" s="2" t="s">
        <v>25</v>
      </c>
      <c r="E269" s="2" t="s">
        <v>35</v>
      </c>
      <c r="F269" s="2" t="s">
        <v>41</v>
      </c>
      <c r="G269" s="2" t="s">
        <v>28</v>
      </c>
      <c r="H269" s="2" t="s">
        <v>33</v>
      </c>
      <c r="I269" s="2"/>
    </row>
    <row r="270" spans="1:9">
      <c r="A270" s="2" t="s">
        <v>328</v>
      </c>
      <c r="B270" s="4">
        <v>46314</v>
      </c>
      <c r="C270" s="4">
        <v>46320</v>
      </c>
      <c r="D270" s="2" t="s">
        <v>25</v>
      </c>
      <c r="E270" s="2" t="s">
        <v>26</v>
      </c>
      <c r="F270" s="2" t="s">
        <v>31</v>
      </c>
      <c r="G270" s="2" t="s">
        <v>32</v>
      </c>
      <c r="H270" s="2" t="s">
        <v>48</v>
      </c>
      <c r="I270" s="2" t="s">
        <v>55</v>
      </c>
    </row>
    <row r="271" spans="1:9">
      <c r="A271" s="2" t="s">
        <v>329</v>
      </c>
      <c r="B271" s="4">
        <v>46314</v>
      </c>
      <c r="C271" s="4">
        <v>46317</v>
      </c>
      <c r="D271" s="2" t="s">
        <v>25</v>
      </c>
      <c r="E271" s="2" t="s">
        <v>26</v>
      </c>
      <c r="F271" s="2" t="s">
        <v>38</v>
      </c>
      <c r="G271" s="2" t="s">
        <v>28</v>
      </c>
      <c r="H271" s="2" t="s">
        <v>29</v>
      </c>
      <c r="I271" s="2"/>
    </row>
    <row r="272" spans="1:9">
      <c r="A272" s="2" t="s">
        <v>330</v>
      </c>
      <c r="B272" s="4">
        <v>46315</v>
      </c>
      <c r="C272" s="2"/>
      <c r="D272" s="2" t="s">
        <v>268</v>
      </c>
      <c r="E272" s="2" t="s">
        <v>35</v>
      </c>
      <c r="F272" s="2" t="s">
        <v>41</v>
      </c>
      <c r="G272" s="2" t="s">
        <v>32</v>
      </c>
      <c r="H272" s="2" t="s">
        <v>48</v>
      </c>
      <c r="I272" s="2"/>
    </row>
    <row r="273" spans="1:9">
      <c r="A273" s="2" t="s">
        <v>331</v>
      </c>
      <c r="B273" s="4">
        <v>46315</v>
      </c>
      <c r="C273" s="2"/>
      <c r="D273" s="2" t="s">
        <v>268</v>
      </c>
      <c r="E273" s="2" t="s">
        <v>35</v>
      </c>
      <c r="F273" s="2" t="s">
        <v>47</v>
      </c>
      <c r="G273" s="2" t="s">
        <v>39</v>
      </c>
      <c r="H273" s="2" t="s">
        <v>36</v>
      </c>
      <c r="I273" s="2"/>
    </row>
    <row r="274" spans="1:9">
      <c r="A274" s="2" t="s">
        <v>332</v>
      </c>
      <c r="B274" s="4">
        <v>46315</v>
      </c>
      <c r="C274" s="2"/>
      <c r="D274" s="2" t="s">
        <v>268</v>
      </c>
      <c r="E274" s="2" t="s">
        <v>35</v>
      </c>
      <c r="F274" s="2" t="s">
        <v>38</v>
      </c>
      <c r="G274" s="2" t="s">
        <v>28</v>
      </c>
      <c r="H274" s="2" t="s">
        <v>33</v>
      </c>
      <c r="I274" s="2"/>
    </row>
    <row r="275" spans="1:9">
      <c r="A275" s="2" t="s">
        <v>333</v>
      </c>
      <c r="B275" s="4">
        <v>46315</v>
      </c>
      <c r="C275" s="4">
        <v>46318</v>
      </c>
      <c r="D275" s="2" t="s">
        <v>25</v>
      </c>
      <c r="E275" s="2" t="s">
        <v>26</v>
      </c>
      <c r="F275" s="2" t="s">
        <v>38</v>
      </c>
      <c r="G275" s="2" t="s">
        <v>28</v>
      </c>
      <c r="H275" s="2" t="s">
        <v>48</v>
      </c>
      <c r="I275" s="2"/>
    </row>
    <row r="276" spans="1:9">
      <c r="A276" s="2" t="s">
        <v>334</v>
      </c>
      <c r="B276" s="4">
        <v>46315</v>
      </c>
      <c r="C276" s="2"/>
      <c r="D276" s="2" t="s">
        <v>268</v>
      </c>
      <c r="E276" s="2" t="s">
        <v>35</v>
      </c>
      <c r="F276" s="2" t="s">
        <v>47</v>
      </c>
      <c r="G276" s="2" t="s">
        <v>39</v>
      </c>
      <c r="H276" s="2" t="s">
        <v>33</v>
      </c>
      <c r="I276" s="2"/>
    </row>
    <row r="277" spans="1:9">
      <c r="A277" s="2" t="s">
        <v>335</v>
      </c>
      <c r="B277" s="4">
        <v>46315</v>
      </c>
      <c r="C277" s="4">
        <v>46318</v>
      </c>
      <c r="D277" s="2" t="s">
        <v>25</v>
      </c>
      <c r="E277" s="2" t="s">
        <v>26</v>
      </c>
      <c r="F277" s="2" t="s">
        <v>27</v>
      </c>
      <c r="G277" s="2" t="s">
        <v>32</v>
      </c>
      <c r="H277" s="2" t="s">
        <v>36</v>
      </c>
      <c r="I277" s="2"/>
    </row>
    <row r="278" spans="1:9">
      <c r="A278" s="2" t="s">
        <v>336</v>
      </c>
      <c r="B278" s="4">
        <v>46316</v>
      </c>
      <c r="C278" s="4">
        <v>46318</v>
      </c>
      <c r="D278" s="2" t="s">
        <v>25</v>
      </c>
      <c r="E278" s="2" t="s">
        <v>26</v>
      </c>
      <c r="F278" s="2" t="s">
        <v>41</v>
      </c>
      <c r="G278" s="2" t="s">
        <v>39</v>
      </c>
      <c r="H278" s="2" t="s">
        <v>54</v>
      </c>
      <c r="I278" s="2"/>
    </row>
    <row r="279" spans="1:9">
      <c r="A279" s="2" t="s">
        <v>337</v>
      </c>
      <c r="B279" s="4">
        <v>46316</v>
      </c>
      <c r="C279" s="4">
        <v>46319</v>
      </c>
      <c r="D279" s="2" t="s">
        <v>25</v>
      </c>
      <c r="E279" s="2" t="s">
        <v>43</v>
      </c>
      <c r="F279" s="2" t="s">
        <v>41</v>
      </c>
      <c r="G279" s="2" t="s">
        <v>32</v>
      </c>
      <c r="H279" s="2" t="s">
        <v>48</v>
      </c>
      <c r="I279" s="2" t="s">
        <v>55</v>
      </c>
    </row>
    <row r="280" spans="1:9">
      <c r="A280" s="2" t="s">
        <v>338</v>
      </c>
      <c r="B280" s="4">
        <v>46316</v>
      </c>
      <c r="C280" s="2"/>
      <c r="D280" s="2" t="s">
        <v>268</v>
      </c>
      <c r="E280" s="2" t="s">
        <v>35</v>
      </c>
      <c r="F280" s="2" t="s">
        <v>47</v>
      </c>
      <c r="G280" s="2" t="s">
        <v>28</v>
      </c>
      <c r="H280" s="2" t="s">
        <v>29</v>
      </c>
      <c r="I280" s="2"/>
    </row>
    <row r="281" spans="1:9">
      <c r="A281" s="2" t="s">
        <v>339</v>
      </c>
      <c r="B281" s="4">
        <v>46317</v>
      </c>
      <c r="C281" s="2"/>
      <c r="D281" s="2" t="s">
        <v>268</v>
      </c>
      <c r="E281" s="2" t="s">
        <v>35</v>
      </c>
      <c r="F281" s="2" t="s">
        <v>27</v>
      </c>
      <c r="G281" s="2" t="s">
        <v>32</v>
      </c>
      <c r="H281" s="2" t="s">
        <v>33</v>
      </c>
      <c r="I281" s="2"/>
    </row>
    <row r="282" spans="1:9">
      <c r="A282" s="2" t="s">
        <v>340</v>
      </c>
      <c r="B282" s="4">
        <v>46317</v>
      </c>
      <c r="C282" s="2"/>
      <c r="D282" s="2" t="s">
        <v>268</v>
      </c>
      <c r="E282" s="2" t="s">
        <v>26</v>
      </c>
      <c r="F282" s="2" t="s">
        <v>47</v>
      </c>
      <c r="G282" s="2" t="s">
        <v>28</v>
      </c>
      <c r="H282" s="2" t="s">
        <v>29</v>
      </c>
      <c r="I282" s="2"/>
    </row>
    <row r="283" spans="1:9">
      <c r="A283" s="2" t="s">
        <v>341</v>
      </c>
      <c r="B283" s="4">
        <v>46317</v>
      </c>
      <c r="C283" s="4">
        <v>46319</v>
      </c>
      <c r="D283" s="2" t="s">
        <v>25</v>
      </c>
      <c r="E283" s="2" t="s">
        <v>43</v>
      </c>
      <c r="F283" s="2" t="s">
        <v>47</v>
      </c>
      <c r="G283" s="2" t="s">
        <v>32</v>
      </c>
      <c r="H283" s="2" t="s">
        <v>29</v>
      </c>
      <c r="I283" s="2"/>
    </row>
    <row r="284" spans="1:9">
      <c r="A284" s="2" t="s">
        <v>342</v>
      </c>
      <c r="B284" s="4">
        <v>46317</v>
      </c>
      <c r="C284" s="2"/>
      <c r="D284" s="2" t="s">
        <v>268</v>
      </c>
      <c r="E284" s="2" t="s">
        <v>35</v>
      </c>
      <c r="F284" s="2" t="s">
        <v>27</v>
      </c>
      <c r="G284" s="2" t="s">
        <v>32</v>
      </c>
      <c r="H284" s="2" t="s">
        <v>54</v>
      </c>
      <c r="I284" s="2"/>
    </row>
    <row r="285" spans="1:9">
      <c r="A285" s="2" t="s">
        <v>343</v>
      </c>
      <c r="B285" s="4">
        <v>46317</v>
      </c>
      <c r="C285" s="2"/>
      <c r="D285" s="2" t="s">
        <v>268</v>
      </c>
      <c r="E285" s="2" t="s">
        <v>344</v>
      </c>
      <c r="F285" s="2" t="s">
        <v>47</v>
      </c>
      <c r="G285" s="2" t="s">
        <v>39</v>
      </c>
      <c r="H285" s="2" t="s">
        <v>36</v>
      </c>
      <c r="I285" s="2"/>
    </row>
    <row r="286" spans="1:9">
      <c r="A286" s="2" t="s">
        <v>345</v>
      </c>
      <c r="B286" s="4">
        <v>46317</v>
      </c>
      <c r="C286" s="2"/>
      <c r="D286" s="2" t="s">
        <v>268</v>
      </c>
      <c r="E286" s="2" t="s">
        <v>35</v>
      </c>
      <c r="F286" s="2" t="s">
        <v>31</v>
      </c>
      <c r="G286" s="2" t="s">
        <v>28</v>
      </c>
      <c r="H286" s="2" t="s">
        <v>29</v>
      </c>
      <c r="I286" s="2"/>
    </row>
    <row r="287" spans="1:9">
      <c r="A287" s="2" t="s">
        <v>346</v>
      </c>
      <c r="B287" s="4">
        <v>46317</v>
      </c>
      <c r="C287" s="2"/>
      <c r="D287" s="2" t="s">
        <v>268</v>
      </c>
      <c r="E287" s="2" t="s">
        <v>35</v>
      </c>
      <c r="F287" s="2" t="s">
        <v>31</v>
      </c>
      <c r="G287" s="2" t="s">
        <v>39</v>
      </c>
      <c r="H287" s="2" t="s">
        <v>33</v>
      </c>
      <c r="I287" s="2"/>
    </row>
    <row r="288" spans="1:9">
      <c r="A288" s="2" t="s">
        <v>347</v>
      </c>
      <c r="B288" s="4">
        <v>46317</v>
      </c>
      <c r="C288" s="2"/>
      <c r="D288" s="2" t="s">
        <v>268</v>
      </c>
      <c r="E288" s="2" t="s">
        <v>43</v>
      </c>
      <c r="F288" s="2" t="s">
        <v>47</v>
      </c>
      <c r="G288" s="2" t="s">
        <v>28</v>
      </c>
      <c r="H288" s="2" t="s">
        <v>33</v>
      </c>
      <c r="I288" s="2" t="s">
        <v>60</v>
      </c>
    </row>
    <row r="289" spans="1:9">
      <c r="A289" s="2" t="s">
        <v>348</v>
      </c>
      <c r="B289" s="4">
        <v>46318</v>
      </c>
      <c r="C289" s="2"/>
      <c r="D289" s="2" t="s">
        <v>268</v>
      </c>
      <c r="E289" s="2" t="s">
        <v>26</v>
      </c>
      <c r="F289" s="2" t="s">
        <v>31</v>
      </c>
      <c r="G289" s="2" t="s">
        <v>32</v>
      </c>
      <c r="H289" s="2" t="s">
        <v>33</v>
      </c>
      <c r="I289" s="2"/>
    </row>
    <row r="290" spans="1:9">
      <c r="A290" s="2" t="s">
        <v>349</v>
      </c>
      <c r="B290" s="4">
        <v>46318</v>
      </c>
      <c r="C290" s="2"/>
      <c r="D290" s="2" t="s">
        <v>268</v>
      </c>
      <c r="E290" s="2" t="s">
        <v>26</v>
      </c>
      <c r="F290" s="2" t="s">
        <v>27</v>
      </c>
      <c r="G290" s="2" t="s">
        <v>39</v>
      </c>
      <c r="H290" s="2" t="s">
        <v>44</v>
      </c>
      <c r="I290" s="2"/>
    </row>
    <row r="291" spans="1:9">
      <c r="A291" s="2" t="s">
        <v>350</v>
      </c>
      <c r="B291" s="4">
        <v>46318</v>
      </c>
      <c r="C291" s="4">
        <v>46320</v>
      </c>
      <c r="D291" s="2" t="s">
        <v>25</v>
      </c>
      <c r="E291" s="2" t="s">
        <v>43</v>
      </c>
      <c r="F291" s="2" t="s">
        <v>27</v>
      </c>
      <c r="G291" s="2" t="s">
        <v>39</v>
      </c>
      <c r="H291" s="2" t="s">
        <v>351</v>
      </c>
      <c r="I291" s="2"/>
    </row>
    <row r="292" spans="1:9">
      <c r="A292" s="2" t="s">
        <v>352</v>
      </c>
      <c r="B292" s="2" t="s">
        <v>353</v>
      </c>
      <c r="C292" s="4">
        <v>46320</v>
      </c>
      <c r="D292" s="2" t="s">
        <v>25</v>
      </c>
      <c r="E292" s="2" t="s">
        <v>26</v>
      </c>
      <c r="F292" s="2" t="s">
        <v>47</v>
      </c>
      <c r="G292" s="2" t="s">
        <v>39</v>
      </c>
      <c r="H292" s="2" t="s">
        <v>29</v>
      </c>
      <c r="I292" s="2"/>
    </row>
    <row r="293" spans="1:9">
      <c r="A293" s="2" t="s">
        <v>354</v>
      </c>
      <c r="B293" s="4">
        <v>46318</v>
      </c>
      <c r="C293" s="2"/>
      <c r="D293" s="2" t="s">
        <v>268</v>
      </c>
      <c r="E293" s="2" t="s">
        <v>35</v>
      </c>
      <c r="F293" s="2" t="s">
        <v>31</v>
      </c>
      <c r="G293" s="2" t="s">
        <v>39</v>
      </c>
      <c r="H293" s="2"/>
      <c r="I293" s="2"/>
    </row>
    <row r="294" spans="1:9">
      <c r="A294" s="2" t="s">
        <v>355</v>
      </c>
      <c r="B294" s="4">
        <v>46318</v>
      </c>
      <c r="C294" s="4">
        <v>46319</v>
      </c>
      <c r="D294" s="2" t="s">
        <v>25</v>
      </c>
      <c r="E294" s="2" t="s">
        <v>26</v>
      </c>
      <c r="F294" s="2" t="s">
        <v>41</v>
      </c>
      <c r="G294" s="2" t="s">
        <v>28</v>
      </c>
      <c r="H294" s="2" t="s">
        <v>48</v>
      </c>
      <c r="I294" s="2"/>
    </row>
    <row r="295" spans="1:9">
      <c r="A295" s="2" t="s">
        <v>356</v>
      </c>
      <c r="B295" s="4">
        <v>46319</v>
      </c>
      <c r="C295" s="2"/>
      <c r="D295" s="2" t="s">
        <v>268</v>
      </c>
      <c r="E295" s="2" t="s">
        <v>35</v>
      </c>
      <c r="F295" s="2" t="s">
        <v>38</v>
      </c>
      <c r="G295" s="2" t="s">
        <v>32</v>
      </c>
      <c r="H295" s="2" t="s">
        <v>36</v>
      </c>
      <c r="I295" s="2"/>
    </row>
    <row r="296" spans="1:9">
      <c r="A296" s="2" t="s">
        <v>356</v>
      </c>
      <c r="B296" s="4">
        <v>46319</v>
      </c>
      <c r="C296" s="2"/>
      <c r="D296" s="2" t="s">
        <v>268</v>
      </c>
      <c r="E296" s="2" t="s">
        <v>35</v>
      </c>
      <c r="F296" s="2" t="s">
        <v>38</v>
      </c>
      <c r="G296" s="2" t="s">
        <v>32</v>
      </c>
      <c r="H296" s="2" t="s">
        <v>36</v>
      </c>
      <c r="I296" s="2"/>
    </row>
    <row r="297" spans="1:9">
      <c r="A297" s="2" t="s">
        <v>357</v>
      </c>
      <c r="B297" s="4">
        <v>46319</v>
      </c>
      <c r="C297" s="2"/>
      <c r="D297" s="2" t="s">
        <v>268</v>
      </c>
      <c r="E297" s="2" t="s">
        <v>26</v>
      </c>
      <c r="F297" s="2" t="s">
        <v>27</v>
      </c>
      <c r="G297" s="2" t="s">
        <v>28</v>
      </c>
      <c r="H297" s="2" t="s">
        <v>44</v>
      </c>
      <c r="I297" s="2"/>
    </row>
    <row r="298" spans="1:9">
      <c r="A298" s="2" t="s">
        <v>358</v>
      </c>
      <c r="B298" s="4">
        <v>46319</v>
      </c>
      <c r="C298" s="2"/>
      <c r="D298" s="2" t="s">
        <v>268</v>
      </c>
      <c r="E298" s="2" t="s">
        <v>35</v>
      </c>
      <c r="F298" s="2" t="s">
        <v>47</v>
      </c>
      <c r="G298" s="2" t="s">
        <v>39</v>
      </c>
      <c r="H298" s="2" t="s">
        <v>48</v>
      </c>
      <c r="I298" s="2"/>
    </row>
    <row r="299" spans="1:9">
      <c r="A299" s="2" t="s">
        <v>359</v>
      </c>
      <c r="B299" s="4">
        <v>46319</v>
      </c>
      <c r="C299" s="2"/>
      <c r="D299" s="2" t="s">
        <v>268</v>
      </c>
      <c r="E299" s="2" t="s">
        <v>35</v>
      </c>
      <c r="F299" s="2" t="s">
        <v>31</v>
      </c>
      <c r="G299" s="2" t="s">
        <v>39</v>
      </c>
      <c r="H299" s="2" t="s">
        <v>48</v>
      </c>
      <c r="I299" s="2"/>
    </row>
    <row r="300" spans="1:9">
      <c r="A300" s="2" t="s">
        <v>360</v>
      </c>
      <c r="B300" s="4">
        <v>46319</v>
      </c>
      <c r="C300" s="2"/>
      <c r="D300" s="2" t="s">
        <v>268</v>
      </c>
      <c r="E300" s="2" t="s">
        <v>361</v>
      </c>
      <c r="F300" s="2" t="s">
        <v>41</v>
      </c>
      <c r="G300" s="2" t="s">
        <v>28</v>
      </c>
      <c r="H300" s="2" t="s">
        <v>36</v>
      </c>
      <c r="I300" s="2"/>
    </row>
    <row r="301" spans="1:9">
      <c r="A301" s="2" t="s">
        <v>362</v>
      </c>
      <c r="B301" s="4">
        <v>46320</v>
      </c>
      <c r="C301" s="2"/>
      <c r="D301" s="2" t="s">
        <v>268</v>
      </c>
      <c r="E301" s="2" t="s">
        <v>26</v>
      </c>
      <c r="F301" s="2" t="s">
        <v>47</v>
      </c>
      <c r="G301" s="2" t="s">
        <v>32</v>
      </c>
      <c r="H301" s="2" t="s">
        <v>48</v>
      </c>
      <c r="I301" s="2"/>
    </row>
    <row r="302" spans="1:9">
      <c r="A302" s="2" t="s">
        <v>363</v>
      </c>
      <c r="B302" s="4">
        <v>46320</v>
      </c>
      <c r="C302" s="2"/>
      <c r="D302" s="2" t="s">
        <v>268</v>
      </c>
      <c r="E302" s="2" t="s">
        <v>35</v>
      </c>
      <c r="F302" s="2" t="s">
        <v>47</v>
      </c>
      <c r="G302" s="2" t="s">
        <v>32</v>
      </c>
      <c r="H302" s="2" t="s">
        <v>44</v>
      </c>
      <c r="I302" s="2"/>
    </row>
    <row r="303" spans="1:9">
      <c r="A303" s="2" t="s">
        <v>364</v>
      </c>
      <c r="B303" s="2" t="s">
        <v>365</v>
      </c>
      <c r="C303" s="2"/>
      <c r="D303" s="2" t="s">
        <v>268</v>
      </c>
      <c r="E303" s="2" t="s">
        <v>35</v>
      </c>
      <c r="F303" s="2" t="s">
        <v>47</v>
      </c>
      <c r="G303" s="2" t="s">
        <v>28</v>
      </c>
      <c r="H303" s="2" t="s">
        <v>33</v>
      </c>
      <c r="I303" s="2"/>
    </row>
    <row r="304" spans="1:9">
      <c r="A304" s="2" t="s">
        <v>366</v>
      </c>
      <c r="B304" s="4">
        <v>46320</v>
      </c>
      <c r="C304" s="2"/>
      <c r="D304" s="2" t="s">
        <v>268</v>
      </c>
      <c r="E304" s="2" t="s">
        <v>26</v>
      </c>
      <c r="F304" s="2" t="s">
        <v>47</v>
      </c>
      <c r="G304" s="2" t="s">
        <v>39</v>
      </c>
      <c r="H304" s="2" t="s">
        <v>33</v>
      </c>
      <c r="I304" s="2"/>
    </row>
    <row r="305" spans="1:9">
      <c r="A305" s="2" t="s">
        <v>367</v>
      </c>
      <c r="B305" s="4">
        <v>46320</v>
      </c>
      <c r="C305" s="2"/>
      <c r="D305" s="2" t="s">
        <v>268</v>
      </c>
      <c r="E305" s="2" t="s">
        <v>35</v>
      </c>
      <c r="F305" s="2" t="s">
        <v>47</v>
      </c>
      <c r="G305" s="2" t="s">
        <v>39</v>
      </c>
      <c r="H305" s="2" t="s">
        <v>48</v>
      </c>
      <c r="I305" s="2"/>
    </row>
    <row r="306" spans="1:9">
      <c r="A306" s="2" t="s">
        <v>368</v>
      </c>
      <c r="B306" s="4">
        <v>46320</v>
      </c>
      <c r="C306" s="2"/>
      <c r="D306" s="2" t="s">
        <v>268</v>
      </c>
      <c r="E306" s="2" t="s">
        <v>26</v>
      </c>
      <c r="F306" s="2" t="s">
        <v>47</v>
      </c>
      <c r="G306" s="2" t="s">
        <v>32</v>
      </c>
      <c r="H306" s="2" t="s">
        <v>48</v>
      </c>
      <c r="I306" s="2"/>
    </row>
    <row r="307" spans="1:9">
      <c r="A307" s="2" t="s">
        <v>369</v>
      </c>
      <c r="B307" s="4">
        <v>46320</v>
      </c>
      <c r="C307" s="2"/>
      <c r="D307" s="2" t="s">
        <v>268</v>
      </c>
      <c r="E307" s="2" t="s">
        <v>35</v>
      </c>
      <c r="F307" s="2" t="s">
        <v>27</v>
      </c>
      <c r="G307" s="2" t="s">
        <v>39</v>
      </c>
      <c r="H307" s="2" t="s">
        <v>54</v>
      </c>
      <c r="I307" s="2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9" defaultRowHeight="14"/>
  <cols>
    <col min="3" max="3" width="22" customWidth="1"/>
  </cols>
  <sheetData>
    <row r="1" spans="1:3">
      <c r="A1" s="3" t="s">
        <v>19</v>
      </c>
      <c r="B1" s="3" t="s">
        <v>370</v>
      </c>
      <c r="C1" s="3" t="s">
        <v>371</v>
      </c>
    </row>
    <row r="2" spans="1:3">
      <c r="A2" s="2" t="s">
        <v>43</v>
      </c>
      <c r="B2" s="2">
        <v>2</v>
      </c>
      <c r="C2" s="2" t="s">
        <v>372</v>
      </c>
    </row>
    <row r="3" spans="1:3">
      <c r="A3" s="2" t="s">
        <v>26</v>
      </c>
      <c r="B3" s="2">
        <v>5</v>
      </c>
      <c r="C3" s="2" t="s">
        <v>373</v>
      </c>
    </row>
    <row r="4" spans="1:3">
      <c r="A4" s="2" t="s">
        <v>35</v>
      </c>
      <c r="B4" s="2">
        <v>10</v>
      </c>
      <c r="C4" s="2" t="s">
        <v>374</v>
      </c>
    </row>
    <row r="6" spans="1:3">
      <c r="A6" s="5" t="s">
        <v>375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94B5-1BF1-0B48-8F9D-B40DA8C95C7A}">
  <dimension ref="A3:P26"/>
  <sheetViews>
    <sheetView workbookViewId="0">
      <selection activeCell="M15" sqref="M15"/>
    </sheetView>
  </sheetViews>
  <sheetFormatPr baseColWidth="10" defaultRowHeight="14"/>
  <cols>
    <col min="1" max="1" width="13.19921875" bestFit="1" customWidth="1"/>
    <col min="2" max="2" width="16.19921875" bestFit="1" customWidth="1"/>
    <col min="3" max="3" width="17.3984375" bestFit="1" customWidth="1"/>
    <col min="4" max="4" width="16.19921875" bestFit="1" customWidth="1"/>
    <col min="5" max="5" width="11.59765625" bestFit="1" customWidth="1"/>
    <col min="6" max="7" width="10.59765625" customWidth="1"/>
    <col min="8" max="8" width="15" style="15" customWidth="1"/>
    <col min="9" max="9" width="17.19921875" style="19" customWidth="1"/>
    <col min="10" max="10" width="9.59765625" bestFit="1" customWidth="1"/>
    <col min="11" max="11" width="21" bestFit="1" customWidth="1"/>
    <col min="12" max="12" width="9.59765625" bestFit="1" customWidth="1"/>
    <col min="13" max="13" width="18.3984375" bestFit="1" customWidth="1"/>
    <col min="14" max="301" width="9.59765625" bestFit="1" customWidth="1"/>
    <col min="302" max="302" width="6.796875" bestFit="1" customWidth="1"/>
  </cols>
  <sheetData>
    <row r="3" spans="1:16">
      <c r="A3" s="13" t="s">
        <v>415</v>
      </c>
      <c r="B3" t="s">
        <v>417</v>
      </c>
      <c r="E3" t="s">
        <v>426</v>
      </c>
      <c r="F3" t="s">
        <v>427</v>
      </c>
      <c r="G3" t="s">
        <v>428</v>
      </c>
      <c r="H3" s="15" t="s">
        <v>429</v>
      </c>
      <c r="I3" s="19" t="s">
        <v>430</v>
      </c>
      <c r="K3" t="s">
        <v>431</v>
      </c>
      <c r="M3" s="22" t="s">
        <v>442</v>
      </c>
      <c r="N3" t="s">
        <v>443</v>
      </c>
      <c r="O3" t="s">
        <v>444</v>
      </c>
      <c r="P3" t="s">
        <v>429</v>
      </c>
    </row>
    <row r="4" spans="1:16" ht="16">
      <c r="A4" s="14" t="s">
        <v>418</v>
      </c>
      <c r="B4" s="20">
        <v>30</v>
      </c>
      <c r="E4" s="18">
        <v>46265</v>
      </c>
      <c r="F4">
        <f>COUNTIFS(Cases_Tbl[Open_Week],E4)</f>
        <v>30</v>
      </c>
      <c r="G4">
        <f>COUNTIFS(Cases_Tbl[Close_Week],E4)</f>
        <v>13</v>
      </c>
      <c r="H4" s="15">
        <f>IFERROR(COUNTIFS(Cases_Tbl[Close_Week],E4,Cases_Tbl[On_Time],"Yes")/(COUNTIFS(Cases_Tbl[Close_Week],E4,Cases_Tbl[On_Time],"Yes")+COUNTIFS(Cases_Tbl[Close_Week],E4,Cases_Tbl[On_Time],"No")),"")</f>
        <v>0.92307692307692313</v>
      </c>
      <c r="I4" s="19">
        <f>IFERROR(AVERAGEIFS(Cases_Tbl[Days_to_Close],Cases_Tbl[Close_Week],E4),"")</f>
        <v>1.8461538461538463</v>
      </c>
      <c r="K4">
        <f>COUNTIF(Cases_Tbl[Status],"Open")</f>
        <v>43</v>
      </c>
      <c r="M4" t="s">
        <v>382</v>
      </c>
      <c r="N4">
        <f>COUNTIFS(Cases_Tbl[Priority],M4,Cases_Tbl[On_Time],"Yes")</f>
        <v>46</v>
      </c>
      <c r="O4">
        <f>COUNTIFS(Cases_Tbl[Priority],M4,Cases_Tbl[On_Time],"No")</f>
        <v>9</v>
      </c>
      <c r="P4" s="26">
        <f>N4/(N4+O4)</f>
        <v>0.83636363636363631</v>
      </c>
    </row>
    <row r="5" spans="1:16" ht="16">
      <c r="A5" s="14" t="s">
        <v>419</v>
      </c>
      <c r="B5" s="20">
        <v>37</v>
      </c>
      <c r="D5" s="16"/>
      <c r="E5" s="17">
        <v>46272</v>
      </c>
      <c r="F5">
        <f>COUNTIFS(Cases_Tbl[Open_Week],E5)</f>
        <v>37</v>
      </c>
      <c r="G5">
        <f>COUNTIFS(Cases_Tbl[Close_Week],E5)</f>
        <v>24</v>
      </c>
      <c r="H5" s="15">
        <f>IFERROR(COUNTIFS(Cases_Tbl[Close_Week],E5,Cases_Tbl[On_Time],"Yes")/(COUNTIFS(Cases_Tbl[Close_Week],E5,Cases_Tbl[On_Time],"Yes")+COUNTIFS(Cases_Tbl[Close_Week],E5,Cases_Tbl[On_Time],"No")),"")</f>
        <v>0.91666666666666663</v>
      </c>
      <c r="I5" s="19">
        <f>IFERROR(AVERAGEIFS(Cases_Tbl[Days_to_Close],Cases_Tbl[Close_Week],E5),"")</f>
        <v>3.7083333333333335</v>
      </c>
      <c r="M5" t="s">
        <v>26</v>
      </c>
      <c r="N5">
        <f>COUNTIFS(Cases_Tbl[Priority],M5,Cases_Tbl[On_Time],"Yes")</f>
        <v>89</v>
      </c>
      <c r="O5">
        <f>COUNTIFS(Cases_Tbl[Priority],M5,Cases_Tbl[On_Time],"No")</f>
        <v>20</v>
      </c>
      <c r="P5" s="26">
        <f t="shared" ref="P5:P6" si="0">N5/(N5+O5)</f>
        <v>0.8165137614678899</v>
      </c>
    </row>
    <row r="6" spans="1:16" ht="16">
      <c r="A6" s="14" t="s">
        <v>420</v>
      </c>
      <c r="B6" s="20">
        <v>40</v>
      </c>
      <c r="D6" s="14"/>
      <c r="E6" s="17">
        <v>46279</v>
      </c>
      <c r="F6">
        <f>COUNTIFS(Cases_Tbl[Open_Week],E6)</f>
        <v>40</v>
      </c>
      <c r="G6">
        <f>COUNTIFS(Cases_Tbl[Close_Week],E6)</f>
        <v>31</v>
      </c>
      <c r="H6" s="15">
        <f>IFERROR(COUNTIFS(Cases_Tbl[Close_Week],E6,Cases_Tbl[On_Time],"Yes")/(COUNTIFS(Cases_Tbl[Close_Week],E6,Cases_Tbl[On_Time],"Yes")+COUNTIFS(Cases_Tbl[Close_Week],E6,Cases_Tbl[On_Time],"No")),"")</f>
        <v>0.74193548387096775</v>
      </c>
      <c r="I6" s="19">
        <f>IFERROR(AVERAGEIFS(Cases_Tbl[Days_to_Close],Cases_Tbl[Close_Week],E6),"")</f>
        <v>6.32258064516129</v>
      </c>
      <c r="K6" s="22" t="s">
        <v>440</v>
      </c>
      <c r="M6" t="s">
        <v>35</v>
      </c>
      <c r="N6">
        <f>COUNTIFS(Cases_Tbl[Priority],M6,Cases_Tbl[On_Time],"Yes")</f>
        <v>76</v>
      </c>
      <c r="O6">
        <f>COUNTIFS(Cases_Tbl[Priority],M6,Cases_Tbl[On_Time],"No")</f>
        <v>19</v>
      </c>
      <c r="P6" s="26">
        <f t="shared" si="0"/>
        <v>0.8</v>
      </c>
    </row>
    <row r="7" spans="1:16">
      <c r="A7" s="14" t="s">
        <v>421</v>
      </c>
      <c r="B7" s="20">
        <v>30</v>
      </c>
      <c r="E7" s="17">
        <v>46286</v>
      </c>
      <c r="F7">
        <f>COUNTIFS(Cases_Tbl[Open_Week],E7)</f>
        <v>30</v>
      </c>
      <c r="G7">
        <f>COUNTIFS(Cases_Tbl[Close_Week],E7)</f>
        <v>43</v>
      </c>
      <c r="H7" s="15">
        <f>IFERROR(COUNTIFS(Cases_Tbl[Close_Week],E7,Cases_Tbl[On_Time],"Yes")/(COUNTIFS(Cases_Tbl[Close_Week],E7,Cases_Tbl[On_Time],"Yes")+COUNTIFS(Cases_Tbl[Close_Week],E7,Cases_Tbl[On_Time],"No")),"")</f>
        <v>0.86046511627906974</v>
      </c>
      <c r="I7" s="19">
        <f>IFERROR(AVERAGEIFS(Cases_Tbl[Days_to_Close],Cases_Tbl[Close_Week],E7),"")</f>
        <v>6.3720930232558137</v>
      </c>
      <c r="K7" s="15">
        <f>COUNTIF(Cases_Tbl[On_Time],"Yes")/(COUNTIF(Cases_Tbl[On_Time],"Yes")+COUNTIF(Cases_Tbl[On_Time],"No"))</f>
        <v>0.81467181467181471</v>
      </c>
    </row>
    <row r="8" spans="1:16">
      <c r="A8" s="14" t="s">
        <v>422</v>
      </c>
      <c r="B8" s="20">
        <v>41</v>
      </c>
      <c r="E8" s="17">
        <v>46293</v>
      </c>
      <c r="F8">
        <f>COUNTIFS(Cases_Tbl[Open_Week],E8)</f>
        <v>41</v>
      </c>
      <c r="G8">
        <f>COUNTIFS(Cases_Tbl[Close_Week],E8)</f>
        <v>41</v>
      </c>
      <c r="H8" s="15">
        <f>IFERROR(COUNTIFS(Cases_Tbl[Close_Week],E8,Cases_Tbl[On_Time],"Yes")/(COUNTIFS(Cases_Tbl[Close_Week],E8,Cases_Tbl[On_Time],"Yes")+COUNTIFS(Cases_Tbl[Close_Week],E8,Cases_Tbl[On_Time],"No")),"")</f>
        <v>0.75</v>
      </c>
      <c r="I8" s="19">
        <f>IFERROR(AVERAGEIFS(Cases_Tbl[Days_to_Close],Cases_Tbl[Close_Week],E8),"")</f>
        <v>5.1749999999999998</v>
      </c>
      <c r="K8" t="s">
        <v>433</v>
      </c>
    </row>
    <row r="9" spans="1:16" ht="16">
      <c r="A9" s="14" t="s">
        <v>423</v>
      </c>
      <c r="B9" s="20">
        <v>38</v>
      </c>
      <c r="E9" s="17">
        <v>46300</v>
      </c>
      <c r="F9">
        <f>COUNTIFS(Cases_Tbl[Open_Week],E9)</f>
        <v>38</v>
      </c>
      <c r="G9">
        <f>COUNTIFS(Cases_Tbl[Close_Week],E9)</f>
        <v>33</v>
      </c>
      <c r="H9" s="15">
        <f>IFERROR(COUNTIFS(Cases_Tbl[Close_Week],E9,Cases_Tbl[On_Time],"Yes")/(COUNTIFS(Cases_Tbl[Close_Week],E9,Cases_Tbl[On_Time],"Yes")+COUNTIFS(Cases_Tbl[Close_Week],E9,Cases_Tbl[On_Time],"No")),"")</f>
        <v>0.78125</v>
      </c>
      <c r="I9" s="19">
        <f>IFERROR(AVERAGEIFS(Cases_Tbl[Days_to_Close],Cases_Tbl[Close_Week],E9),"")</f>
        <v>4.65625</v>
      </c>
      <c r="K9" s="23">
        <f>AVERAGE(Cases_Tbl[Days_to_Close])</f>
        <v>5.2316602316602321</v>
      </c>
      <c r="M9" t="s">
        <v>448</v>
      </c>
      <c r="N9" t="s">
        <v>449</v>
      </c>
    </row>
    <row r="10" spans="1:16">
      <c r="A10" s="14" t="s">
        <v>424</v>
      </c>
      <c r="B10" s="20">
        <v>44</v>
      </c>
      <c r="E10" s="17">
        <v>46307</v>
      </c>
      <c r="F10">
        <f>COUNTIFS(Cases_Tbl[Open_Week],E10)</f>
        <v>44</v>
      </c>
      <c r="G10">
        <f>COUNTIFS(Cases_Tbl[Close_Week],E10)</f>
        <v>39</v>
      </c>
      <c r="H10" s="15">
        <f>IFERROR(COUNTIFS(Cases_Tbl[Close_Week],E10,Cases_Tbl[On_Time],"Yes")/(COUNTIFS(Cases_Tbl[Close_Week],E10,Cases_Tbl[On_Time],"Yes")+COUNTIFS(Cases_Tbl[Close_Week],E10,Cases_Tbl[On_Time],"No")),"")</f>
        <v>0.84210526315789469</v>
      </c>
      <c r="I10" s="19">
        <f>IFERROR(AVERAGEIFS(Cases_Tbl[Days_to_Close],Cases_Tbl[Close_Week],E10),"")</f>
        <v>5.4210526315789478</v>
      </c>
      <c r="M10" t="s">
        <v>450</v>
      </c>
      <c r="N10">
        <f>COUNTIFS(Cases_Tbl[Age_Days],"&gt;=0",Cases_Tbl[Age_Days],"&lt;=2")</f>
        <v>2</v>
      </c>
    </row>
    <row r="11" spans="1:16">
      <c r="A11" s="14" t="s">
        <v>425</v>
      </c>
      <c r="B11" s="20">
        <v>40</v>
      </c>
      <c r="E11" s="17">
        <v>46314</v>
      </c>
      <c r="F11">
        <f>COUNTIFS(Cases_Tbl[Open_Week],E11)</f>
        <v>40</v>
      </c>
      <c r="G11">
        <f>COUNTIFS(Cases_Tbl[Close_Week],E11)</f>
        <v>36</v>
      </c>
      <c r="H11" s="15">
        <f>IFERROR(COUNTIFS(Cases_Tbl[Close_Week],E11,Cases_Tbl[On_Time],"Yes")/(COUNTIFS(Cases_Tbl[Close_Week],E11,Cases_Tbl[On_Time],"Yes")+COUNTIFS(Cases_Tbl[Close_Week],E11,Cases_Tbl[On_Time],"No")),"")</f>
        <v>0.77777777777777779</v>
      </c>
      <c r="I11" s="19">
        <f>IFERROR(AVERAGEIFS(Cases_Tbl[Days_to_Close],Cases_Tbl[Close_Week],E11),"")</f>
        <v>5.7222222222222223</v>
      </c>
      <c r="M11" t="s">
        <v>451</v>
      </c>
      <c r="N11">
        <f>COUNTIFS(Cases_Tbl[Age_Days],"&gt;=3",Cases_Tbl[Age_Days],"&lt;=5")</f>
        <v>8</v>
      </c>
    </row>
    <row r="12" spans="1:16">
      <c r="A12" s="14" t="s">
        <v>439</v>
      </c>
      <c r="B12" s="20">
        <v>5</v>
      </c>
      <c r="E12" s="17">
        <v>46321</v>
      </c>
      <c r="F12">
        <f>COUNTIFS(Cases_Tbl[Open_Week],E12)</f>
        <v>5</v>
      </c>
      <c r="G12">
        <f>COUNTIFS(Cases_Tbl[Close_Week],E12)</f>
        <v>2</v>
      </c>
      <c r="H12" s="15">
        <f>IFERROR(COUNTIFS(Cases_Tbl[Close_Week],E12,Cases_Tbl[On_Time],"Yes")/(COUNTIFS(Cases_Tbl[Close_Week],E12,Cases_Tbl[On_Time],"Yes")+COUNTIFS(Cases_Tbl[Close_Week],E12,Cases_Tbl[On_Time],"No")),"")</f>
        <v>1</v>
      </c>
      <c r="I12" s="19">
        <f>IFERROR(AVERAGEIFS(Cases_Tbl[Days_to_Close],Cases_Tbl[Close_Week],E12),"")</f>
        <v>2</v>
      </c>
      <c r="K12" t="s">
        <v>445</v>
      </c>
      <c r="M12" t="s">
        <v>452</v>
      </c>
      <c r="N12">
        <f>COUNTIFS(Cases_Tbl[Age_Days],"&gt;=6",Cases_Tbl[Age_Days],"&lt;=10")</f>
        <v>20</v>
      </c>
    </row>
    <row r="13" spans="1:16">
      <c r="A13" s="14" t="s">
        <v>416</v>
      </c>
      <c r="B13" s="20">
        <v>305</v>
      </c>
      <c r="D13" s="14"/>
      <c r="K13" s="17">
        <v>46325</v>
      </c>
      <c r="M13" t="s">
        <v>453</v>
      </c>
      <c r="N13">
        <f>COUNTIFS(Cases_Tbl[Age_Days],"&gt;10")</f>
        <v>13</v>
      </c>
    </row>
    <row r="14" spans="1:16">
      <c r="M14" t="s">
        <v>454</v>
      </c>
      <c r="N14">
        <f>COUNTIF(Cases_Tbl[Over_Target],"Yes")</f>
        <v>20</v>
      </c>
    </row>
    <row r="21" spans="1:3">
      <c r="A21" s="13" t="s">
        <v>415</v>
      </c>
      <c r="B21" t="s">
        <v>417</v>
      </c>
      <c r="C21" t="s">
        <v>432</v>
      </c>
    </row>
    <row r="22" spans="1:3">
      <c r="A22" s="14" t="s">
        <v>55</v>
      </c>
      <c r="B22" s="20">
        <v>32</v>
      </c>
      <c r="C22" s="21">
        <v>0.58181818181818179</v>
      </c>
    </row>
    <row r="23" spans="1:3">
      <c r="A23" s="14" t="s">
        <v>52</v>
      </c>
      <c r="B23" s="20">
        <v>9</v>
      </c>
      <c r="C23" s="21">
        <v>0.16363636363636364</v>
      </c>
    </row>
    <row r="24" spans="1:3">
      <c r="A24" s="14" t="s">
        <v>60</v>
      </c>
      <c r="B24" s="20">
        <v>8</v>
      </c>
      <c r="C24" s="21">
        <v>0.14545454545454545</v>
      </c>
    </row>
    <row r="25" spans="1:3">
      <c r="A25" s="14" t="s">
        <v>98</v>
      </c>
      <c r="B25" s="20">
        <v>6</v>
      </c>
      <c r="C25" s="21">
        <v>0.10909090909090909</v>
      </c>
    </row>
    <row r="26" spans="1:3">
      <c r="A26" s="14" t="s">
        <v>416</v>
      </c>
      <c r="B26" s="20">
        <v>55</v>
      </c>
      <c r="C26" s="21">
        <v>1</v>
      </c>
    </row>
  </sheetData>
  <phoneticPr fontId="6" type="noConversion"/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4323-5362-6F42-8FCA-CF1B7432563F}">
  <dimension ref="A1:Q306"/>
  <sheetViews>
    <sheetView tabSelected="1" workbookViewId="0">
      <pane ySplit="1" topLeftCell="A281" activePane="bottomLeft" state="frozen"/>
      <selection pane="bottomLeft" activeCell="P21" sqref="P21"/>
    </sheetView>
  </sheetViews>
  <sheetFormatPr baseColWidth="10" defaultColWidth="9" defaultRowHeight="14"/>
  <cols>
    <col min="1" max="1" width="12.19921875" customWidth="1"/>
    <col min="2" max="2" width="14.796875" customWidth="1"/>
    <col min="3" max="3" width="15.19921875" customWidth="1"/>
    <col min="4" max="4" width="10.19921875" customWidth="1"/>
    <col min="5" max="5" width="11.19921875" customWidth="1"/>
    <col min="6" max="6" width="24" customWidth="1"/>
    <col min="7" max="7" width="18.3984375" customWidth="1"/>
    <col min="8" max="8" width="10.3984375" customWidth="1"/>
    <col min="9" max="9" width="26" customWidth="1"/>
    <col min="10" max="10" width="13.796875" customWidth="1"/>
    <col min="14" max="15" width="13.19921875" bestFit="1" customWidth="1"/>
    <col min="16" max="16" width="9" style="27"/>
  </cols>
  <sheetData>
    <row r="1" spans="1:17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7" t="s">
        <v>406</v>
      </c>
      <c r="K1" s="25" t="s">
        <v>441</v>
      </c>
      <c r="L1" s="10" t="s">
        <v>411</v>
      </c>
      <c r="M1" s="10" t="s">
        <v>412</v>
      </c>
      <c r="N1" s="10" t="s">
        <v>413</v>
      </c>
      <c r="O1" s="12" t="s">
        <v>414</v>
      </c>
      <c r="P1" s="27" t="s">
        <v>446</v>
      </c>
      <c r="Q1" s="25" t="s">
        <v>447</v>
      </c>
    </row>
    <row r="2" spans="1:17">
      <c r="A2" s="2" t="s">
        <v>24</v>
      </c>
      <c r="B2" s="4">
        <v>46265</v>
      </c>
      <c r="C2" s="4">
        <v>46266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/>
      <c r="K2" s="6">
        <f>_xlfn.XLOOKUP(Cases_Tbl[[#This Row],[Priority]],SLA_Table!$A$2:$A$4,SLA_Table!$B$2:$B$4)</f>
        <v>5</v>
      </c>
      <c r="L2" s="6">
        <f t="shared" ref="L2:L65" si="0">IF(OR(C2="",J2&lt;&gt;""),"",C2-B2)</f>
        <v>1</v>
      </c>
      <c r="M2" t="str">
        <f>IF(L2="","",IF(L2&lt;=K2,"Yes","No"))</f>
        <v>Yes</v>
      </c>
      <c r="N2" s="11">
        <f t="shared" ref="N2:N65" si="1">B2-WEEKDAY(B2,2)+1</f>
        <v>46265</v>
      </c>
      <c r="O2" s="9">
        <f t="shared" ref="O2:O65" si="2">IF(C2="","",C2-WEEKDAY(C2,2)+1)</f>
        <v>46265</v>
      </c>
      <c r="P2" s="27" t="str">
        <f>IF(D2="Open",KPI!$K$13-B2,"")</f>
        <v/>
      </c>
      <c r="Q2" t="str">
        <f t="shared" ref="Q2:Q65" si="3">IF(P2="","",IF(P2&gt;K2,"Yes","No"))</f>
        <v/>
      </c>
    </row>
    <row r="3" spans="1:17">
      <c r="A3" s="2" t="s">
        <v>30</v>
      </c>
      <c r="B3" s="4">
        <v>46265</v>
      </c>
      <c r="C3" s="4">
        <v>46266</v>
      </c>
      <c r="D3" s="2" t="s">
        <v>25</v>
      </c>
      <c r="E3" s="2" t="s">
        <v>26</v>
      </c>
      <c r="F3" s="2" t="s">
        <v>31</v>
      </c>
      <c r="G3" s="2" t="s">
        <v>32</v>
      </c>
      <c r="H3" s="2" t="s">
        <v>33</v>
      </c>
      <c r="I3" s="2"/>
      <c r="K3" s="6">
        <f>_xlfn.XLOOKUP(Cases_Tbl[[#This Row],[Priority]],SLA_Table!$A$2:$A$4,SLA_Table!$B$2:$B$4)</f>
        <v>5</v>
      </c>
      <c r="L3" s="6">
        <f t="shared" si="0"/>
        <v>1</v>
      </c>
      <c r="M3" s="6" t="str">
        <f t="shared" ref="M2:M65" si="4">IF(L3="","",IF(L3&lt;=K3,"Yes","No"))</f>
        <v>Yes</v>
      </c>
      <c r="N3" s="11">
        <f t="shared" si="1"/>
        <v>46265</v>
      </c>
      <c r="O3" s="9">
        <f t="shared" si="2"/>
        <v>46265</v>
      </c>
      <c r="P3" s="27" t="str">
        <f>IF(D3="Open",KPI!$K$13-B3,"")</f>
        <v/>
      </c>
      <c r="Q3" s="24" t="str">
        <f t="shared" si="3"/>
        <v/>
      </c>
    </row>
    <row r="4" spans="1:17">
      <c r="A4" s="2" t="s">
        <v>34</v>
      </c>
      <c r="B4" s="4">
        <v>46265</v>
      </c>
      <c r="C4" s="4">
        <v>46271</v>
      </c>
      <c r="D4" s="2" t="s">
        <v>25</v>
      </c>
      <c r="E4" s="2" t="s">
        <v>35</v>
      </c>
      <c r="F4" s="2" t="s">
        <v>31</v>
      </c>
      <c r="G4" s="2" t="s">
        <v>28</v>
      </c>
      <c r="H4" s="2" t="s">
        <v>36</v>
      </c>
      <c r="I4" s="2"/>
      <c r="K4" s="6">
        <f>_xlfn.XLOOKUP(Cases_Tbl[[#This Row],[Priority]],SLA_Table!$A$2:$A$4,SLA_Table!$B$2:$B$4)</f>
        <v>10</v>
      </c>
      <c r="L4" s="6">
        <f t="shared" si="0"/>
        <v>6</v>
      </c>
      <c r="M4" s="6" t="str">
        <f t="shared" si="4"/>
        <v>Yes</v>
      </c>
      <c r="N4" s="11">
        <f t="shared" si="1"/>
        <v>46265</v>
      </c>
      <c r="O4" s="9">
        <f t="shared" si="2"/>
        <v>46265</v>
      </c>
      <c r="P4" s="27" t="str">
        <f>IF(D4="Open",KPI!$K$13-B4,"")</f>
        <v/>
      </c>
      <c r="Q4" s="24" t="str">
        <f t="shared" si="3"/>
        <v/>
      </c>
    </row>
    <row r="5" spans="1:17">
      <c r="A5" s="2" t="s">
        <v>37</v>
      </c>
      <c r="B5" s="4">
        <v>46266</v>
      </c>
      <c r="C5" s="4">
        <v>46272</v>
      </c>
      <c r="D5" s="2" t="s">
        <v>25</v>
      </c>
      <c r="E5" s="2" t="s">
        <v>35</v>
      </c>
      <c r="F5" s="2" t="s">
        <v>38</v>
      </c>
      <c r="G5" s="2" t="s">
        <v>39</v>
      </c>
      <c r="H5" s="2" t="s">
        <v>36</v>
      </c>
      <c r="I5" s="2"/>
      <c r="K5" s="6">
        <f>_xlfn.XLOOKUP(Cases_Tbl[[#This Row],[Priority]],SLA_Table!$A$2:$A$4,SLA_Table!$B$2:$B$4)</f>
        <v>10</v>
      </c>
      <c r="L5" s="6">
        <f t="shared" si="0"/>
        <v>6</v>
      </c>
      <c r="M5" s="6" t="str">
        <f t="shared" si="4"/>
        <v>Yes</v>
      </c>
      <c r="N5" s="11">
        <f t="shared" si="1"/>
        <v>46265</v>
      </c>
      <c r="O5" s="9">
        <f t="shared" si="2"/>
        <v>46272</v>
      </c>
      <c r="P5" s="27" t="str">
        <f>IF(D5="Open",KPI!$K$13-B5,"")</f>
        <v/>
      </c>
      <c r="Q5" s="24" t="str">
        <f t="shared" si="3"/>
        <v/>
      </c>
    </row>
    <row r="6" spans="1:17">
      <c r="A6" s="2" t="s">
        <v>40</v>
      </c>
      <c r="B6" s="4">
        <v>46266</v>
      </c>
      <c r="C6" s="4">
        <v>46268</v>
      </c>
      <c r="D6" s="2" t="s">
        <v>25</v>
      </c>
      <c r="E6" s="2" t="s">
        <v>26</v>
      </c>
      <c r="F6" s="2" t="s">
        <v>41</v>
      </c>
      <c r="G6" s="2" t="s">
        <v>39</v>
      </c>
      <c r="H6" s="2" t="s">
        <v>29</v>
      </c>
      <c r="I6" s="2"/>
      <c r="K6" s="6">
        <f>_xlfn.XLOOKUP(Cases_Tbl[[#This Row],[Priority]],SLA_Table!$A$2:$A$4,SLA_Table!$B$2:$B$4)</f>
        <v>5</v>
      </c>
      <c r="L6" s="6">
        <f t="shared" si="0"/>
        <v>2</v>
      </c>
      <c r="M6" s="6" t="str">
        <f t="shared" si="4"/>
        <v>Yes</v>
      </c>
      <c r="N6" s="11">
        <f t="shared" si="1"/>
        <v>46265</v>
      </c>
      <c r="O6" s="9">
        <f t="shared" si="2"/>
        <v>46265</v>
      </c>
      <c r="P6" s="27" t="str">
        <f>IF(D6="Open",KPI!$K$13-B6,"")</f>
        <v/>
      </c>
      <c r="Q6" s="24" t="str">
        <f t="shared" si="3"/>
        <v/>
      </c>
    </row>
    <row r="7" spans="1:17">
      <c r="A7" s="2" t="s">
        <v>42</v>
      </c>
      <c r="B7" s="4">
        <v>46266</v>
      </c>
      <c r="C7" s="4">
        <v>46268</v>
      </c>
      <c r="D7" s="2" t="s">
        <v>25</v>
      </c>
      <c r="E7" s="2" t="s">
        <v>43</v>
      </c>
      <c r="F7" s="2" t="s">
        <v>27</v>
      </c>
      <c r="G7" s="2" t="s">
        <v>28</v>
      </c>
      <c r="H7" s="2" t="s">
        <v>44</v>
      </c>
      <c r="I7" s="2"/>
      <c r="K7" s="6">
        <f>_xlfn.XLOOKUP(Cases_Tbl[[#This Row],[Priority]],SLA_Table!$A$2:$A$4,SLA_Table!$B$2:$B$4)</f>
        <v>2</v>
      </c>
      <c r="L7" s="6">
        <f t="shared" si="0"/>
        <v>2</v>
      </c>
      <c r="M7" s="6" t="str">
        <f t="shared" si="4"/>
        <v>Yes</v>
      </c>
      <c r="N7" s="11">
        <f t="shared" si="1"/>
        <v>46265</v>
      </c>
      <c r="O7" s="9">
        <f t="shared" si="2"/>
        <v>46265</v>
      </c>
      <c r="P7" s="27" t="str">
        <f>IF(D7="Open",KPI!$K$13-B7,"")</f>
        <v/>
      </c>
      <c r="Q7" s="24" t="str">
        <f t="shared" si="3"/>
        <v/>
      </c>
    </row>
    <row r="8" spans="1:17">
      <c r="A8" s="2" t="s">
        <v>45</v>
      </c>
      <c r="B8" s="4">
        <v>46266</v>
      </c>
      <c r="C8" s="4">
        <v>46267</v>
      </c>
      <c r="D8" s="2" t="s">
        <v>25</v>
      </c>
      <c r="E8" s="2" t="s">
        <v>26</v>
      </c>
      <c r="F8" s="2" t="s">
        <v>31</v>
      </c>
      <c r="G8" s="2" t="s">
        <v>28</v>
      </c>
      <c r="H8" s="2" t="s">
        <v>33</v>
      </c>
      <c r="I8" s="2"/>
      <c r="K8" s="6">
        <f>_xlfn.XLOOKUP(Cases_Tbl[[#This Row],[Priority]],SLA_Table!$A$2:$A$4,SLA_Table!$B$2:$B$4)</f>
        <v>5</v>
      </c>
      <c r="L8" s="6">
        <f t="shared" si="0"/>
        <v>1</v>
      </c>
      <c r="M8" s="6" t="str">
        <f t="shared" si="4"/>
        <v>Yes</v>
      </c>
      <c r="N8" s="11">
        <f t="shared" si="1"/>
        <v>46265</v>
      </c>
      <c r="O8" s="9">
        <f t="shared" si="2"/>
        <v>46265</v>
      </c>
      <c r="P8" s="27" t="str">
        <f>IF(D8="Open",KPI!$K$13-B8,"")</f>
        <v/>
      </c>
      <c r="Q8" s="24" t="str">
        <f t="shared" si="3"/>
        <v/>
      </c>
    </row>
    <row r="9" spans="1:17">
      <c r="A9" s="2" t="s">
        <v>46</v>
      </c>
      <c r="B9" s="4">
        <v>46266</v>
      </c>
      <c r="C9" s="4">
        <v>46266</v>
      </c>
      <c r="D9" s="2" t="s">
        <v>25</v>
      </c>
      <c r="E9" s="2" t="s">
        <v>43</v>
      </c>
      <c r="F9" s="2" t="s">
        <v>47</v>
      </c>
      <c r="G9" s="2" t="s">
        <v>32</v>
      </c>
      <c r="H9" s="2" t="s">
        <v>48</v>
      </c>
      <c r="I9" s="2"/>
      <c r="K9" s="6">
        <f>_xlfn.XLOOKUP(Cases_Tbl[[#This Row],[Priority]],SLA_Table!$A$2:$A$4,SLA_Table!$B$2:$B$4)</f>
        <v>2</v>
      </c>
      <c r="L9" s="6">
        <f t="shared" si="0"/>
        <v>0</v>
      </c>
      <c r="M9" s="6" t="str">
        <f t="shared" si="4"/>
        <v>Yes</v>
      </c>
      <c r="N9" s="11">
        <f t="shared" si="1"/>
        <v>46265</v>
      </c>
      <c r="O9" s="9">
        <f t="shared" si="2"/>
        <v>46265</v>
      </c>
      <c r="P9" s="27" t="str">
        <f>IF(D9="Open",KPI!$K$13-B9,"")</f>
        <v/>
      </c>
      <c r="Q9" s="24" t="str">
        <f t="shared" si="3"/>
        <v/>
      </c>
    </row>
    <row r="10" spans="1:17">
      <c r="A10" s="2" t="s">
        <v>49</v>
      </c>
      <c r="B10" s="4">
        <v>46267</v>
      </c>
      <c r="C10" s="4">
        <v>46271</v>
      </c>
      <c r="D10" s="2" t="s">
        <v>25</v>
      </c>
      <c r="E10" s="2" t="s">
        <v>26</v>
      </c>
      <c r="F10" s="2" t="s">
        <v>41</v>
      </c>
      <c r="G10" s="2" t="s">
        <v>32</v>
      </c>
      <c r="H10" s="2" t="s">
        <v>33</v>
      </c>
      <c r="I10" s="2"/>
      <c r="K10" s="6">
        <f>_xlfn.XLOOKUP(Cases_Tbl[[#This Row],[Priority]],SLA_Table!$A$2:$A$4,SLA_Table!$B$2:$B$4)</f>
        <v>5</v>
      </c>
      <c r="L10" s="6">
        <f t="shared" si="0"/>
        <v>4</v>
      </c>
      <c r="M10" s="6" t="str">
        <f t="shared" si="4"/>
        <v>Yes</v>
      </c>
      <c r="N10" s="11">
        <f t="shared" si="1"/>
        <v>46265</v>
      </c>
      <c r="O10" s="9">
        <f t="shared" si="2"/>
        <v>46265</v>
      </c>
      <c r="P10" s="27" t="str">
        <f>IF(D10="Open",KPI!$K$13-B10,"")</f>
        <v/>
      </c>
      <c r="Q10" s="24" t="str">
        <f t="shared" si="3"/>
        <v/>
      </c>
    </row>
    <row r="11" spans="1:17">
      <c r="A11" s="2" t="s">
        <v>50</v>
      </c>
      <c r="B11" s="4">
        <v>46267</v>
      </c>
      <c r="C11" s="4">
        <v>46272</v>
      </c>
      <c r="D11" s="2" t="s">
        <v>25</v>
      </c>
      <c r="E11" s="2" t="s">
        <v>26</v>
      </c>
      <c r="F11" s="2" t="s">
        <v>47</v>
      </c>
      <c r="G11" s="2" t="s">
        <v>28</v>
      </c>
      <c r="H11" s="2" t="s">
        <v>29</v>
      </c>
      <c r="I11" s="2"/>
      <c r="K11" s="6">
        <f>_xlfn.XLOOKUP(Cases_Tbl[[#This Row],[Priority]],SLA_Table!$A$2:$A$4,SLA_Table!$B$2:$B$4)</f>
        <v>5</v>
      </c>
      <c r="L11" s="6">
        <f t="shared" si="0"/>
        <v>5</v>
      </c>
      <c r="M11" s="6" t="str">
        <f t="shared" si="4"/>
        <v>Yes</v>
      </c>
      <c r="N11" s="11">
        <f t="shared" si="1"/>
        <v>46265</v>
      </c>
      <c r="O11" s="9">
        <f t="shared" si="2"/>
        <v>46272</v>
      </c>
      <c r="P11" s="27" t="str">
        <f>IF(D11="Open",KPI!$K$13-B11,"")</f>
        <v/>
      </c>
      <c r="Q11" s="24" t="str">
        <f t="shared" si="3"/>
        <v/>
      </c>
    </row>
    <row r="12" spans="1:17">
      <c r="A12" s="2" t="s">
        <v>51</v>
      </c>
      <c r="B12" s="4">
        <v>46268</v>
      </c>
      <c r="C12" s="4">
        <v>46282</v>
      </c>
      <c r="D12" s="2" t="s">
        <v>25</v>
      </c>
      <c r="E12" s="2" t="s">
        <v>35</v>
      </c>
      <c r="F12" s="2" t="s">
        <v>27</v>
      </c>
      <c r="G12" s="2" t="s">
        <v>32</v>
      </c>
      <c r="H12" s="2" t="s">
        <v>29</v>
      </c>
      <c r="I12" s="2" t="s">
        <v>52</v>
      </c>
      <c r="K12" s="6">
        <f>_xlfn.XLOOKUP(Cases_Tbl[[#This Row],[Priority]],SLA_Table!$A$2:$A$4,SLA_Table!$B$2:$B$4)</f>
        <v>10</v>
      </c>
      <c r="L12" s="6">
        <f t="shared" si="0"/>
        <v>14</v>
      </c>
      <c r="M12" s="6" t="str">
        <f t="shared" si="4"/>
        <v>No</v>
      </c>
      <c r="N12" s="11">
        <f t="shared" si="1"/>
        <v>46265</v>
      </c>
      <c r="O12" s="9">
        <f t="shared" si="2"/>
        <v>46279</v>
      </c>
      <c r="P12" s="27" t="str">
        <f>IF(D12="Open",KPI!$K$13-B12,"")</f>
        <v/>
      </c>
      <c r="Q12" s="24" t="str">
        <f t="shared" si="3"/>
        <v/>
      </c>
    </row>
    <row r="13" spans="1:17">
      <c r="A13" s="2" t="s">
        <v>53</v>
      </c>
      <c r="B13" s="4">
        <v>46268</v>
      </c>
      <c r="C13" s="4">
        <v>46283</v>
      </c>
      <c r="D13" s="2" t="s">
        <v>25</v>
      </c>
      <c r="E13" s="2" t="s">
        <v>35</v>
      </c>
      <c r="F13" s="2" t="s">
        <v>31</v>
      </c>
      <c r="G13" s="2" t="s">
        <v>32</v>
      </c>
      <c r="H13" s="2" t="s">
        <v>54</v>
      </c>
      <c r="I13" s="2" t="s">
        <v>55</v>
      </c>
      <c r="K13" s="6">
        <f>_xlfn.XLOOKUP(Cases_Tbl[[#This Row],[Priority]],SLA_Table!$A$2:$A$4,SLA_Table!$B$2:$B$4)</f>
        <v>10</v>
      </c>
      <c r="L13" s="6">
        <f t="shared" si="0"/>
        <v>15</v>
      </c>
      <c r="M13" s="6" t="str">
        <f t="shared" si="4"/>
        <v>No</v>
      </c>
      <c r="N13" s="11">
        <f t="shared" si="1"/>
        <v>46265</v>
      </c>
      <c r="O13" s="9">
        <f t="shared" si="2"/>
        <v>46279</v>
      </c>
      <c r="P13" s="27" t="str">
        <f>IF(D13="Open",KPI!$K$13-B13,"")</f>
        <v/>
      </c>
      <c r="Q13" s="24" t="str">
        <f t="shared" si="3"/>
        <v/>
      </c>
    </row>
    <row r="14" spans="1:17">
      <c r="A14" s="2" t="s">
        <v>56</v>
      </c>
      <c r="B14" s="4">
        <v>46268</v>
      </c>
      <c r="C14" s="4">
        <v>46271</v>
      </c>
      <c r="D14" s="2" t="s">
        <v>25</v>
      </c>
      <c r="E14" s="2" t="s">
        <v>43</v>
      </c>
      <c r="F14" s="2" t="s">
        <v>38</v>
      </c>
      <c r="G14" s="2" t="s">
        <v>28</v>
      </c>
      <c r="H14" s="2" t="s">
        <v>54</v>
      </c>
      <c r="I14" s="6" t="s">
        <v>396</v>
      </c>
      <c r="K14" s="6">
        <f>_xlfn.XLOOKUP(Cases_Tbl[[#This Row],[Priority]],SLA_Table!$A$2:$A$4,SLA_Table!$B$2:$B$4)</f>
        <v>2</v>
      </c>
      <c r="L14" s="6">
        <f t="shared" si="0"/>
        <v>3</v>
      </c>
      <c r="M14" s="6" t="str">
        <f t="shared" si="4"/>
        <v>No</v>
      </c>
      <c r="N14" s="11">
        <f t="shared" si="1"/>
        <v>46265</v>
      </c>
      <c r="O14" s="9">
        <f t="shared" si="2"/>
        <v>46265</v>
      </c>
      <c r="P14" s="27" t="str">
        <f>IF(D14="Open",KPI!$K$13-B14,"")</f>
        <v/>
      </c>
      <c r="Q14" s="24" t="str">
        <f t="shared" si="3"/>
        <v/>
      </c>
    </row>
    <row r="15" spans="1:17">
      <c r="A15" s="2" t="s">
        <v>58</v>
      </c>
      <c r="B15" s="4">
        <v>46268</v>
      </c>
      <c r="C15" s="4">
        <v>46269</v>
      </c>
      <c r="D15" s="2" t="s">
        <v>25</v>
      </c>
      <c r="E15" s="2" t="s">
        <v>26</v>
      </c>
      <c r="F15" s="2" t="s">
        <v>31</v>
      </c>
      <c r="G15" s="2" t="s">
        <v>32</v>
      </c>
      <c r="H15" s="2" t="s">
        <v>36</v>
      </c>
      <c r="I15" s="2"/>
      <c r="K15" s="6">
        <f>_xlfn.XLOOKUP(Cases_Tbl[[#This Row],[Priority]],SLA_Table!$A$2:$A$4,SLA_Table!$B$2:$B$4)</f>
        <v>5</v>
      </c>
      <c r="L15" s="6">
        <f t="shared" si="0"/>
        <v>1</v>
      </c>
      <c r="M15" s="6" t="str">
        <f t="shared" si="4"/>
        <v>Yes</v>
      </c>
      <c r="N15" s="11">
        <f t="shared" si="1"/>
        <v>46265</v>
      </c>
      <c r="O15" s="9">
        <f t="shared" si="2"/>
        <v>46265</v>
      </c>
      <c r="P15" s="27" t="str">
        <f>IF(D15="Open",KPI!$K$13-B15,"")</f>
        <v/>
      </c>
      <c r="Q15" s="24" t="str">
        <f t="shared" si="3"/>
        <v/>
      </c>
    </row>
    <row r="16" spans="1:17">
      <c r="A16" s="2" t="s">
        <v>59</v>
      </c>
      <c r="B16" s="4">
        <v>46268</v>
      </c>
      <c r="C16" s="4">
        <v>46279</v>
      </c>
      <c r="D16" s="2" t="s">
        <v>25</v>
      </c>
      <c r="E16" s="2" t="s">
        <v>35</v>
      </c>
      <c r="F16" s="2" t="s">
        <v>41</v>
      </c>
      <c r="G16" s="2" t="s">
        <v>39</v>
      </c>
      <c r="H16" s="2" t="s">
        <v>36</v>
      </c>
      <c r="I16" s="2" t="s">
        <v>60</v>
      </c>
      <c r="K16" s="6">
        <f>_xlfn.XLOOKUP(Cases_Tbl[[#This Row],[Priority]],SLA_Table!$A$2:$A$4,SLA_Table!$B$2:$B$4)</f>
        <v>10</v>
      </c>
      <c r="L16" s="6">
        <f t="shared" si="0"/>
        <v>11</v>
      </c>
      <c r="M16" s="6" t="str">
        <f t="shared" si="4"/>
        <v>No</v>
      </c>
      <c r="N16" s="11">
        <f t="shared" si="1"/>
        <v>46265</v>
      </c>
      <c r="O16" s="9">
        <f t="shared" si="2"/>
        <v>46279</v>
      </c>
      <c r="P16" s="27" t="str">
        <f>IF(D16="Open",KPI!$K$13-B16,"")</f>
        <v/>
      </c>
      <c r="Q16" s="24" t="str">
        <f t="shared" si="3"/>
        <v/>
      </c>
    </row>
    <row r="17" spans="1:17">
      <c r="A17" s="2" t="s">
        <v>61</v>
      </c>
      <c r="B17" s="4">
        <v>46268</v>
      </c>
      <c r="C17" s="4">
        <v>46269</v>
      </c>
      <c r="D17" s="2" t="s">
        <v>25</v>
      </c>
      <c r="E17" s="2" t="s">
        <v>26</v>
      </c>
      <c r="F17" s="2" t="s">
        <v>41</v>
      </c>
      <c r="G17" s="2" t="s">
        <v>32</v>
      </c>
      <c r="H17" s="2" t="s">
        <v>54</v>
      </c>
      <c r="I17" s="2"/>
      <c r="K17" s="6">
        <f>_xlfn.XLOOKUP(Cases_Tbl[[#This Row],[Priority]],SLA_Table!$A$2:$A$4,SLA_Table!$B$2:$B$4)</f>
        <v>5</v>
      </c>
      <c r="L17" s="6">
        <f t="shared" si="0"/>
        <v>1</v>
      </c>
      <c r="M17" s="6" t="str">
        <f t="shared" si="4"/>
        <v>Yes</v>
      </c>
      <c r="N17" s="11">
        <f t="shared" si="1"/>
        <v>46265</v>
      </c>
      <c r="O17" s="9">
        <f t="shared" si="2"/>
        <v>46265</v>
      </c>
      <c r="P17" s="27" t="str">
        <f>IF(D17="Open",KPI!$K$13-B17,"")</f>
        <v/>
      </c>
      <c r="Q17" s="24" t="str">
        <f t="shared" si="3"/>
        <v/>
      </c>
    </row>
    <row r="18" spans="1:17">
      <c r="A18" s="2" t="s">
        <v>62</v>
      </c>
      <c r="B18" s="4">
        <v>46269</v>
      </c>
      <c r="C18" s="4">
        <v>46269</v>
      </c>
      <c r="D18" s="2" t="s">
        <v>25</v>
      </c>
      <c r="E18" s="2" t="s">
        <v>43</v>
      </c>
      <c r="F18" s="2" t="s">
        <v>31</v>
      </c>
      <c r="G18" s="2" t="s">
        <v>32</v>
      </c>
      <c r="H18" s="2" t="s">
        <v>44</v>
      </c>
      <c r="I18" s="2"/>
      <c r="K18" s="6">
        <f>_xlfn.XLOOKUP(Cases_Tbl[[#This Row],[Priority]],SLA_Table!$A$2:$A$4,SLA_Table!$B$2:$B$4)</f>
        <v>2</v>
      </c>
      <c r="L18" s="6">
        <f t="shared" si="0"/>
        <v>0</v>
      </c>
      <c r="M18" s="6" t="str">
        <f t="shared" si="4"/>
        <v>Yes</v>
      </c>
      <c r="N18" s="11">
        <f t="shared" si="1"/>
        <v>46265</v>
      </c>
      <c r="O18" s="9">
        <f t="shared" si="2"/>
        <v>46265</v>
      </c>
      <c r="P18" s="27" t="str">
        <f>IF(D18="Open",KPI!$K$13-B18,"")</f>
        <v/>
      </c>
      <c r="Q18" s="24" t="str">
        <f t="shared" si="3"/>
        <v/>
      </c>
    </row>
    <row r="19" spans="1:17">
      <c r="A19" s="2" t="s">
        <v>63</v>
      </c>
      <c r="B19" s="4">
        <v>46269</v>
      </c>
      <c r="C19" s="4">
        <v>46275</v>
      </c>
      <c r="D19" s="2" t="s">
        <v>25</v>
      </c>
      <c r="E19" s="2" t="s">
        <v>35</v>
      </c>
      <c r="F19" s="2" t="s">
        <v>27</v>
      </c>
      <c r="G19" s="2" t="s">
        <v>28</v>
      </c>
      <c r="H19" s="2" t="s">
        <v>36</v>
      </c>
      <c r="I19" s="2"/>
      <c r="K19" s="6">
        <f>_xlfn.XLOOKUP(Cases_Tbl[[#This Row],[Priority]],SLA_Table!$A$2:$A$4,SLA_Table!$B$2:$B$4)</f>
        <v>10</v>
      </c>
      <c r="L19" s="6">
        <f t="shared" si="0"/>
        <v>6</v>
      </c>
      <c r="M19" s="6" t="str">
        <f t="shared" si="4"/>
        <v>Yes</v>
      </c>
      <c r="N19" s="11">
        <f t="shared" si="1"/>
        <v>46265</v>
      </c>
      <c r="O19" s="9">
        <f t="shared" si="2"/>
        <v>46272</v>
      </c>
      <c r="P19" s="27" t="str">
        <f>IF(D19="Open",KPI!$K$13-B19,"")</f>
        <v/>
      </c>
      <c r="Q19" s="24" t="str">
        <f t="shared" si="3"/>
        <v/>
      </c>
    </row>
    <row r="20" spans="1:17">
      <c r="A20" s="2" t="s">
        <v>64</v>
      </c>
      <c r="B20" s="4">
        <v>46269</v>
      </c>
      <c r="C20" s="4">
        <v>46276</v>
      </c>
      <c r="D20" s="2" t="s">
        <v>25</v>
      </c>
      <c r="E20" s="2" t="s">
        <v>35</v>
      </c>
      <c r="F20" s="2" t="s">
        <v>41</v>
      </c>
      <c r="G20" s="2" t="s">
        <v>32</v>
      </c>
      <c r="H20" s="2" t="s">
        <v>44</v>
      </c>
      <c r="I20" s="2"/>
      <c r="K20" s="6">
        <f>_xlfn.XLOOKUP(Cases_Tbl[[#This Row],[Priority]],SLA_Table!$A$2:$A$4,SLA_Table!$B$2:$B$4)</f>
        <v>10</v>
      </c>
      <c r="L20" s="6">
        <f t="shared" si="0"/>
        <v>7</v>
      </c>
      <c r="M20" s="6" t="str">
        <f t="shared" si="4"/>
        <v>Yes</v>
      </c>
      <c r="N20" s="11">
        <f t="shared" si="1"/>
        <v>46265</v>
      </c>
      <c r="O20" s="9">
        <f t="shared" si="2"/>
        <v>46272</v>
      </c>
      <c r="P20" s="27" t="str">
        <f>IF(D20="Open",KPI!$K$13-B20,"")</f>
        <v/>
      </c>
      <c r="Q20" s="24" t="str">
        <f t="shared" si="3"/>
        <v/>
      </c>
    </row>
    <row r="21" spans="1:17">
      <c r="A21" s="2" t="s">
        <v>65</v>
      </c>
      <c r="B21" s="4">
        <v>46269</v>
      </c>
      <c r="C21" s="4">
        <v>46271</v>
      </c>
      <c r="D21" s="2" t="s">
        <v>25</v>
      </c>
      <c r="E21" s="2" t="s">
        <v>43</v>
      </c>
      <c r="F21" s="2" t="s">
        <v>27</v>
      </c>
      <c r="G21" s="2" t="s">
        <v>28</v>
      </c>
      <c r="H21" s="2" t="s">
        <v>54</v>
      </c>
      <c r="I21" s="2"/>
      <c r="K21" s="6">
        <f>_xlfn.XLOOKUP(Cases_Tbl[[#This Row],[Priority]],SLA_Table!$A$2:$A$4,SLA_Table!$B$2:$B$4)</f>
        <v>2</v>
      </c>
      <c r="L21" s="6">
        <f t="shared" si="0"/>
        <v>2</v>
      </c>
      <c r="M21" s="6" t="str">
        <f t="shared" si="4"/>
        <v>Yes</v>
      </c>
      <c r="N21" s="11">
        <f t="shared" si="1"/>
        <v>46265</v>
      </c>
      <c r="O21" s="9">
        <f t="shared" si="2"/>
        <v>46265</v>
      </c>
      <c r="P21" s="27" t="str">
        <f>IF(D21="Open",KPI!$K$13-B21,"")</f>
        <v/>
      </c>
      <c r="Q21" s="24" t="str">
        <f t="shared" si="3"/>
        <v/>
      </c>
    </row>
    <row r="22" spans="1:17">
      <c r="A22" s="2" t="s">
        <v>66</v>
      </c>
      <c r="B22" s="4">
        <v>46269</v>
      </c>
      <c r="C22" s="4">
        <v>46279</v>
      </c>
      <c r="D22" s="2" t="s">
        <v>25</v>
      </c>
      <c r="E22" s="2" t="s">
        <v>35</v>
      </c>
      <c r="F22" s="2" t="s">
        <v>41</v>
      </c>
      <c r="G22" s="2" t="s">
        <v>28</v>
      </c>
      <c r="H22" s="2" t="s">
        <v>44</v>
      </c>
      <c r="I22" s="2"/>
      <c r="K22" s="6">
        <f>_xlfn.XLOOKUP(Cases_Tbl[[#This Row],[Priority]],SLA_Table!$A$2:$A$4,SLA_Table!$B$2:$B$4)</f>
        <v>10</v>
      </c>
      <c r="L22" s="6">
        <f t="shared" si="0"/>
        <v>10</v>
      </c>
      <c r="M22" s="6" t="str">
        <f t="shared" si="4"/>
        <v>Yes</v>
      </c>
      <c r="N22" s="11">
        <f t="shared" si="1"/>
        <v>46265</v>
      </c>
      <c r="O22" s="9">
        <f t="shared" si="2"/>
        <v>46279</v>
      </c>
      <c r="P22" s="27" t="str">
        <f>IF(D22="Open",KPI!$K$13-B22,"")</f>
        <v/>
      </c>
      <c r="Q22" s="24" t="str">
        <f t="shared" si="3"/>
        <v/>
      </c>
    </row>
    <row r="23" spans="1:17">
      <c r="A23" s="2" t="s">
        <v>67</v>
      </c>
      <c r="B23" s="4">
        <v>46269</v>
      </c>
      <c r="C23" s="4">
        <v>46278</v>
      </c>
      <c r="D23" s="2" t="s">
        <v>25</v>
      </c>
      <c r="E23" s="2" t="s">
        <v>35</v>
      </c>
      <c r="F23" s="2" t="s">
        <v>31</v>
      </c>
      <c r="G23" s="2" t="s">
        <v>32</v>
      </c>
      <c r="H23" s="6" t="s">
        <v>389</v>
      </c>
      <c r="I23" s="2"/>
      <c r="K23" s="6">
        <f>_xlfn.XLOOKUP(Cases_Tbl[[#This Row],[Priority]],SLA_Table!$A$2:$A$4,SLA_Table!$B$2:$B$4)</f>
        <v>10</v>
      </c>
      <c r="L23" s="6">
        <f t="shared" si="0"/>
        <v>9</v>
      </c>
      <c r="M23" s="6" t="str">
        <f t="shared" si="4"/>
        <v>Yes</v>
      </c>
      <c r="N23" s="11">
        <f t="shared" si="1"/>
        <v>46265</v>
      </c>
      <c r="O23" s="9">
        <f t="shared" si="2"/>
        <v>46272</v>
      </c>
      <c r="P23" s="27" t="str">
        <f>IF(D23="Open",KPI!$K$13-B23,"")</f>
        <v/>
      </c>
      <c r="Q23" s="24" t="str">
        <f t="shared" si="3"/>
        <v/>
      </c>
    </row>
    <row r="24" spans="1:17">
      <c r="A24" s="2" t="s">
        <v>69</v>
      </c>
      <c r="B24" s="4">
        <v>46269</v>
      </c>
      <c r="C24" s="4">
        <v>46274</v>
      </c>
      <c r="D24" s="2" t="s">
        <v>25</v>
      </c>
      <c r="E24" s="2" t="s">
        <v>26</v>
      </c>
      <c r="F24" s="2" t="s">
        <v>47</v>
      </c>
      <c r="G24" s="2" t="s">
        <v>28</v>
      </c>
      <c r="H24" s="2" t="s">
        <v>48</v>
      </c>
      <c r="I24" s="2"/>
      <c r="K24" s="6">
        <f>_xlfn.XLOOKUP(Cases_Tbl[[#This Row],[Priority]],SLA_Table!$A$2:$A$4,SLA_Table!$B$2:$B$4)</f>
        <v>5</v>
      </c>
      <c r="L24" s="6">
        <f t="shared" si="0"/>
        <v>5</v>
      </c>
      <c r="M24" s="6" t="str">
        <f t="shared" si="4"/>
        <v>Yes</v>
      </c>
      <c r="N24" s="11">
        <f t="shared" si="1"/>
        <v>46265</v>
      </c>
      <c r="O24" s="9">
        <f t="shared" si="2"/>
        <v>46272</v>
      </c>
      <c r="P24" s="27" t="str">
        <f>IF(D24="Open",KPI!$K$13-B24,"")</f>
        <v/>
      </c>
      <c r="Q24" s="24" t="str">
        <f t="shared" si="3"/>
        <v/>
      </c>
    </row>
    <row r="25" spans="1:17">
      <c r="A25" s="2" t="s">
        <v>70</v>
      </c>
      <c r="B25" s="4">
        <v>46270</v>
      </c>
      <c r="C25" s="4">
        <v>46279</v>
      </c>
      <c r="D25" s="2" t="s">
        <v>25</v>
      </c>
      <c r="E25" s="2" t="s">
        <v>35</v>
      </c>
      <c r="F25" s="2" t="s">
        <v>47</v>
      </c>
      <c r="G25" s="2" t="s">
        <v>28</v>
      </c>
      <c r="H25" s="2" t="s">
        <v>29</v>
      </c>
      <c r="I25" s="2"/>
      <c r="K25" s="6">
        <f>_xlfn.XLOOKUP(Cases_Tbl[[#This Row],[Priority]],SLA_Table!$A$2:$A$4,SLA_Table!$B$2:$B$4)</f>
        <v>10</v>
      </c>
      <c r="L25" s="6">
        <f t="shared" si="0"/>
        <v>9</v>
      </c>
      <c r="M25" s="6" t="str">
        <f t="shared" si="4"/>
        <v>Yes</v>
      </c>
      <c r="N25" s="11">
        <f t="shared" si="1"/>
        <v>46265</v>
      </c>
      <c r="O25" s="9">
        <f t="shared" si="2"/>
        <v>46279</v>
      </c>
      <c r="P25" s="27" t="str">
        <f>IF(D25="Open",KPI!$K$13-B25,"")</f>
        <v/>
      </c>
      <c r="Q25" s="24" t="str">
        <f t="shared" si="3"/>
        <v/>
      </c>
    </row>
    <row r="26" spans="1:17">
      <c r="A26" s="2" t="s">
        <v>71</v>
      </c>
      <c r="B26" s="4">
        <v>46270</v>
      </c>
      <c r="C26" s="4">
        <v>46277</v>
      </c>
      <c r="D26" s="2" t="s">
        <v>25</v>
      </c>
      <c r="E26" s="2" t="s">
        <v>35</v>
      </c>
      <c r="F26" s="2" t="s">
        <v>31</v>
      </c>
      <c r="G26" s="2" t="s">
        <v>39</v>
      </c>
      <c r="H26" s="2" t="s">
        <v>44</v>
      </c>
      <c r="I26" s="2"/>
      <c r="K26" s="6">
        <f>_xlfn.XLOOKUP(Cases_Tbl[[#This Row],[Priority]],SLA_Table!$A$2:$A$4,SLA_Table!$B$2:$B$4)</f>
        <v>10</v>
      </c>
      <c r="L26" s="6">
        <f t="shared" si="0"/>
        <v>7</v>
      </c>
      <c r="M26" s="6" t="str">
        <f t="shared" si="4"/>
        <v>Yes</v>
      </c>
      <c r="N26" s="11">
        <f t="shared" si="1"/>
        <v>46265</v>
      </c>
      <c r="O26" s="9">
        <f t="shared" si="2"/>
        <v>46272</v>
      </c>
      <c r="P26" s="27" t="str">
        <f>IF(D26="Open",KPI!$K$13-B26,"")</f>
        <v/>
      </c>
      <c r="Q26" s="24" t="str">
        <f t="shared" si="3"/>
        <v/>
      </c>
    </row>
    <row r="27" spans="1:17">
      <c r="A27" s="2" t="s">
        <v>72</v>
      </c>
      <c r="B27" s="4">
        <v>46270</v>
      </c>
      <c r="C27" s="4">
        <v>46278</v>
      </c>
      <c r="D27" s="2" t="s">
        <v>25</v>
      </c>
      <c r="E27" s="2" t="s">
        <v>26</v>
      </c>
      <c r="F27" s="2" t="s">
        <v>27</v>
      </c>
      <c r="G27" s="2" t="s">
        <v>32</v>
      </c>
      <c r="H27" s="2" t="s">
        <v>36</v>
      </c>
      <c r="I27" s="2" t="s">
        <v>55</v>
      </c>
      <c r="K27" s="6">
        <f>_xlfn.XLOOKUP(Cases_Tbl[[#This Row],[Priority]],SLA_Table!$A$2:$A$4,SLA_Table!$B$2:$B$4)</f>
        <v>5</v>
      </c>
      <c r="L27" s="6">
        <f t="shared" si="0"/>
        <v>8</v>
      </c>
      <c r="M27" s="6" t="str">
        <f t="shared" si="4"/>
        <v>No</v>
      </c>
      <c r="N27" s="11">
        <f t="shared" si="1"/>
        <v>46265</v>
      </c>
      <c r="O27" s="9">
        <f t="shared" si="2"/>
        <v>46272</v>
      </c>
      <c r="P27" s="27" t="str">
        <f>IF(D27="Open",KPI!$K$13-B27,"")</f>
        <v/>
      </c>
      <c r="Q27" s="24" t="str">
        <f t="shared" si="3"/>
        <v/>
      </c>
    </row>
    <row r="28" spans="1:17">
      <c r="A28" s="2" t="s">
        <v>73</v>
      </c>
      <c r="B28" s="4">
        <v>46271</v>
      </c>
      <c r="C28" s="4">
        <v>46280</v>
      </c>
      <c r="D28" s="2" t="s">
        <v>25</v>
      </c>
      <c r="E28" s="2" t="s">
        <v>35</v>
      </c>
      <c r="F28" s="2" t="s">
        <v>47</v>
      </c>
      <c r="G28" s="2" t="s">
        <v>28</v>
      </c>
      <c r="H28" s="2" t="s">
        <v>48</v>
      </c>
      <c r="I28" s="2"/>
      <c r="K28" s="6">
        <f>_xlfn.XLOOKUP(Cases_Tbl[[#This Row],[Priority]],SLA_Table!$A$2:$A$4,SLA_Table!$B$2:$B$4)</f>
        <v>10</v>
      </c>
      <c r="L28" s="6">
        <f t="shared" si="0"/>
        <v>9</v>
      </c>
      <c r="M28" s="6" t="str">
        <f t="shared" si="4"/>
        <v>Yes</v>
      </c>
      <c r="N28" s="11">
        <f t="shared" si="1"/>
        <v>46265</v>
      </c>
      <c r="O28" s="9">
        <f t="shared" si="2"/>
        <v>46279</v>
      </c>
      <c r="P28" s="27" t="str">
        <f>IF(D28="Open",KPI!$K$13-B28,"")</f>
        <v/>
      </c>
      <c r="Q28" s="24" t="str">
        <f t="shared" si="3"/>
        <v/>
      </c>
    </row>
    <row r="29" spans="1:17">
      <c r="A29" s="2" t="s">
        <v>74</v>
      </c>
      <c r="B29" s="4">
        <v>46271</v>
      </c>
      <c r="C29" s="4">
        <v>46280</v>
      </c>
      <c r="D29" s="2" t="s">
        <v>25</v>
      </c>
      <c r="E29" s="2" t="s">
        <v>35</v>
      </c>
      <c r="F29" s="2" t="s">
        <v>27</v>
      </c>
      <c r="G29" s="2" t="s">
        <v>39</v>
      </c>
      <c r="H29" s="2" t="s">
        <v>33</v>
      </c>
      <c r="I29" s="2"/>
      <c r="K29" s="6">
        <f>_xlfn.XLOOKUP(Cases_Tbl[[#This Row],[Priority]],SLA_Table!$A$2:$A$4,SLA_Table!$B$2:$B$4)</f>
        <v>10</v>
      </c>
      <c r="L29" s="6">
        <f t="shared" si="0"/>
        <v>9</v>
      </c>
      <c r="M29" s="6" t="str">
        <f t="shared" si="4"/>
        <v>Yes</v>
      </c>
      <c r="N29" s="11">
        <f t="shared" si="1"/>
        <v>46265</v>
      </c>
      <c r="O29" s="9">
        <f t="shared" si="2"/>
        <v>46279</v>
      </c>
      <c r="P29" s="27" t="str">
        <f>IF(D29="Open",KPI!$K$13-B29,"")</f>
        <v/>
      </c>
      <c r="Q29" s="24" t="str">
        <f t="shared" si="3"/>
        <v/>
      </c>
    </row>
    <row r="30" spans="1:17">
      <c r="A30" s="2" t="s">
        <v>75</v>
      </c>
      <c r="B30" s="4">
        <v>46271</v>
      </c>
      <c r="C30" s="4">
        <v>46287</v>
      </c>
      <c r="D30" s="2" t="s">
        <v>25</v>
      </c>
      <c r="E30" s="2" t="s">
        <v>35</v>
      </c>
      <c r="F30" s="2" t="s">
        <v>31</v>
      </c>
      <c r="G30" s="2" t="s">
        <v>32</v>
      </c>
      <c r="H30" s="2" t="s">
        <v>29</v>
      </c>
      <c r="I30" s="2" t="s">
        <v>55</v>
      </c>
      <c r="K30" s="6">
        <f>_xlfn.XLOOKUP(Cases_Tbl[[#This Row],[Priority]],SLA_Table!$A$2:$A$4,SLA_Table!$B$2:$B$4)</f>
        <v>10</v>
      </c>
      <c r="L30" s="6">
        <f t="shared" si="0"/>
        <v>16</v>
      </c>
      <c r="M30" s="6" t="str">
        <f t="shared" si="4"/>
        <v>No</v>
      </c>
      <c r="N30" s="11">
        <f t="shared" si="1"/>
        <v>46265</v>
      </c>
      <c r="O30" s="9">
        <f t="shared" si="2"/>
        <v>46286</v>
      </c>
      <c r="P30" s="27" t="str">
        <f>IF(D30="Open",KPI!$K$13-B30,"")</f>
        <v/>
      </c>
      <c r="Q30" s="24" t="str">
        <f t="shared" si="3"/>
        <v/>
      </c>
    </row>
    <row r="31" spans="1:17">
      <c r="A31" s="2" t="s">
        <v>76</v>
      </c>
      <c r="B31" s="4">
        <v>46271</v>
      </c>
      <c r="C31" s="4">
        <v>46277</v>
      </c>
      <c r="D31" s="2" t="s">
        <v>25</v>
      </c>
      <c r="E31" s="2" t="s">
        <v>26</v>
      </c>
      <c r="F31" s="2" t="s">
        <v>27</v>
      </c>
      <c r="G31" s="2" t="s">
        <v>32</v>
      </c>
      <c r="H31" s="2" t="s">
        <v>44</v>
      </c>
      <c r="I31" s="6" t="s">
        <v>396</v>
      </c>
      <c r="K31" s="6">
        <f>_xlfn.XLOOKUP(Cases_Tbl[[#This Row],[Priority]],SLA_Table!$A$2:$A$4,SLA_Table!$B$2:$B$4)</f>
        <v>5</v>
      </c>
      <c r="L31" s="6">
        <f t="shared" si="0"/>
        <v>6</v>
      </c>
      <c r="M31" s="6" t="str">
        <f t="shared" si="4"/>
        <v>No</v>
      </c>
      <c r="N31" s="11">
        <f t="shared" si="1"/>
        <v>46265</v>
      </c>
      <c r="O31" s="9">
        <f t="shared" si="2"/>
        <v>46272</v>
      </c>
      <c r="P31" s="27" t="str">
        <f>IF(D31="Open",KPI!$K$13-B31,"")</f>
        <v/>
      </c>
      <c r="Q31" s="24" t="str">
        <f t="shared" si="3"/>
        <v/>
      </c>
    </row>
    <row r="32" spans="1:17">
      <c r="A32" s="2" t="s">
        <v>78</v>
      </c>
      <c r="B32" s="4">
        <v>46272</v>
      </c>
      <c r="C32" s="4">
        <v>46280</v>
      </c>
      <c r="D32" s="2" t="s">
        <v>25</v>
      </c>
      <c r="E32" s="2" t="s">
        <v>35</v>
      </c>
      <c r="F32" s="2" t="s">
        <v>41</v>
      </c>
      <c r="G32" s="2" t="s">
        <v>32</v>
      </c>
      <c r="H32" s="2" t="s">
        <v>36</v>
      </c>
      <c r="I32" s="2"/>
      <c r="K32" s="6">
        <f>_xlfn.XLOOKUP(Cases_Tbl[[#This Row],[Priority]],SLA_Table!$A$2:$A$4,SLA_Table!$B$2:$B$4)</f>
        <v>10</v>
      </c>
      <c r="L32" s="6">
        <f t="shared" si="0"/>
        <v>8</v>
      </c>
      <c r="M32" s="6" t="str">
        <f t="shared" si="4"/>
        <v>Yes</v>
      </c>
      <c r="N32" s="11">
        <f t="shared" si="1"/>
        <v>46272</v>
      </c>
      <c r="O32" s="9">
        <f t="shared" si="2"/>
        <v>46279</v>
      </c>
      <c r="P32" s="27" t="str">
        <f>IF(D32="Open",KPI!$K$13-B32,"")</f>
        <v/>
      </c>
      <c r="Q32" s="24" t="str">
        <f t="shared" si="3"/>
        <v/>
      </c>
    </row>
    <row r="33" spans="1:17">
      <c r="A33" s="2" t="s">
        <v>79</v>
      </c>
      <c r="B33" s="4">
        <v>46272</v>
      </c>
      <c r="C33" s="4">
        <v>46278</v>
      </c>
      <c r="D33" s="2" t="s">
        <v>25</v>
      </c>
      <c r="E33" s="2" t="s">
        <v>35</v>
      </c>
      <c r="F33" s="2" t="s">
        <v>41</v>
      </c>
      <c r="G33" s="2" t="s">
        <v>28</v>
      </c>
      <c r="H33" s="2" t="s">
        <v>44</v>
      </c>
      <c r="I33" s="2"/>
      <c r="K33" s="6">
        <f>_xlfn.XLOOKUP(Cases_Tbl[[#This Row],[Priority]],SLA_Table!$A$2:$A$4,SLA_Table!$B$2:$B$4)</f>
        <v>10</v>
      </c>
      <c r="L33" s="6">
        <f t="shared" si="0"/>
        <v>6</v>
      </c>
      <c r="M33" s="6" t="str">
        <f t="shared" si="4"/>
        <v>Yes</v>
      </c>
      <c r="N33" s="11">
        <f t="shared" si="1"/>
        <v>46272</v>
      </c>
      <c r="O33" s="9">
        <f t="shared" si="2"/>
        <v>46272</v>
      </c>
      <c r="P33" s="27" t="str">
        <f>IF(D33="Open",KPI!$K$13-B33,"")</f>
        <v/>
      </c>
      <c r="Q33" s="24" t="str">
        <f t="shared" si="3"/>
        <v/>
      </c>
    </row>
    <row r="34" spans="1:17">
      <c r="A34" s="2" t="s">
        <v>80</v>
      </c>
      <c r="B34" s="4">
        <v>46272</v>
      </c>
      <c r="C34" s="4">
        <v>46276</v>
      </c>
      <c r="D34" s="2" t="s">
        <v>25</v>
      </c>
      <c r="E34" s="2" t="s">
        <v>26</v>
      </c>
      <c r="F34" s="2" t="s">
        <v>41</v>
      </c>
      <c r="G34" s="2" t="s">
        <v>32</v>
      </c>
      <c r="H34" s="2" t="s">
        <v>48</v>
      </c>
      <c r="I34" s="2"/>
      <c r="K34" s="6">
        <f>_xlfn.XLOOKUP(Cases_Tbl[[#This Row],[Priority]],SLA_Table!$A$2:$A$4,SLA_Table!$B$2:$B$4)</f>
        <v>5</v>
      </c>
      <c r="L34" s="6">
        <f t="shared" si="0"/>
        <v>4</v>
      </c>
      <c r="M34" s="6" t="str">
        <f t="shared" si="4"/>
        <v>Yes</v>
      </c>
      <c r="N34" s="11">
        <f t="shared" si="1"/>
        <v>46272</v>
      </c>
      <c r="O34" s="9">
        <f t="shared" si="2"/>
        <v>46272</v>
      </c>
      <c r="P34" s="27" t="str">
        <f>IF(D34="Open",KPI!$K$13-B34,"")</f>
        <v/>
      </c>
      <c r="Q34" s="24" t="str">
        <f t="shared" si="3"/>
        <v/>
      </c>
    </row>
    <row r="35" spans="1:17">
      <c r="A35" s="2" t="s">
        <v>81</v>
      </c>
      <c r="B35" s="4">
        <v>46272</v>
      </c>
      <c r="C35" s="4">
        <v>46277</v>
      </c>
      <c r="D35" s="2" t="s">
        <v>25</v>
      </c>
      <c r="E35" s="2" t="s">
        <v>26</v>
      </c>
      <c r="F35" s="2" t="s">
        <v>41</v>
      </c>
      <c r="G35" s="2" t="s">
        <v>39</v>
      </c>
      <c r="H35" s="2" t="s">
        <v>33</v>
      </c>
      <c r="I35" s="2"/>
      <c r="K35" s="6">
        <f>_xlfn.XLOOKUP(Cases_Tbl[[#This Row],[Priority]],SLA_Table!$A$2:$A$4,SLA_Table!$B$2:$B$4)</f>
        <v>5</v>
      </c>
      <c r="L35" s="6">
        <f t="shared" si="0"/>
        <v>5</v>
      </c>
      <c r="M35" s="6" t="str">
        <f t="shared" si="4"/>
        <v>Yes</v>
      </c>
      <c r="N35" s="11">
        <f t="shared" si="1"/>
        <v>46272</v>
      </c>
      <c r="O35" s="9">
        <f t="shared" si="2"/>
        <v>46272</v>
      </c>
      <c r="P35" s="27" t="str">
        <f>IF(D35="Open",KPI!$K$13-B35,"")</f>
        <v/>
      </c>
      <c r="Q35" s="24" t="str">
        <f t="shared" si="3"/>
        <v/>
      </c>
    </row>
    <row r="36" spans="1:17">
      <c r="A36" s="2" t="s">
        <v>82</v>
      </c>
      <c r="B36" s="4">
        <v>46272</v>
      </c>
      <c r="C36" s="4">
        <v>46273</v>
      </c>
      <c r="D36" s="2" t="s">
        <v>25</v>
      </c>
      <c r="E36" s="2" t="s">
        <v>43</v>
      </c>
      <c r="F36" s="2" t="s">
        <v>27</v>
      </c>
      <c r="G36" s="2" t="s">
        <v>32</v>
      </c>
      <c r="H36" s="2" t="s">
        <v>44</v>
      </c>
      <c r="I36" s="2"/>
      <c r="K36" s="6">
        <f>_xlfn.XLOOKUP(Cases_Tbl[[#This Row],[Priority]],SLA_Table!$A$2:$A$4,SLA_Table!$B$2:$B$4)</f>
        <v>2</v>
      </c>
      <c r="L36" s="6">
        <f t="shared" si="0"/>
        <v>1</v>
      </c>
      <c r="M36" s="6" t="str">
        <f t="shared" si="4"/>
        <v>Yes</v>
      </c>
      <c r="N36" s="11">
        <f t="shared" si="1"/>
        <v>46272</v>
      </c>
      <c r="O36" s="9">
        <f t="shared" si="2"/>
        <v>46272</v>
      </c>
      <c r="P36" s="27" t="str">
        <f>IF(D36="Open",KPI!$K$13-B36,"")</f>
        <v/>
      </c>
      <c r="Q36" s="24" t="str">
        <f t="shared" si="3"/>
        <v/>
      </c>
    </row>
    <row r="37" spans="1:17">
      <c r="A37" s="2" t="s">
        <v>83</v>
      </c>
      <c r="B37" s="4">
        <v>46272</v>
      </c>
      <c r="C37" s="4">
        <v>46273</v>
      </c>
      <c r="D37" s="2" t="s">
        <v>25</v>
      </c>
      <c r="E37" s="2" t="s">
        <v>43</v>
      </c>
      <c r="F37" s="2" t="s">
        <v>31</v>
      </c>
      <c r="G37" s="2" t="s">
        <v>28</v>
      </c>
      <c r="H37" s="2" t="s">
        <v>36</v>
      </c>
      <c r="I37" s="2"/>
      <c r="K37" s="6">
        <f>_xlfn.XLOOKUP(Cases_Tbl[[#This Row],[Priority]],SLA_Table!$A$2:$A$4,SLA_Table!$B$2:$B$4)</f>
        <v>2</v>
      </c>
      <c r="L37" s="6">
        <f t="shared" si="0"/>
        <v>1</v>
      </c>
      <c r="M37" s="6" t="str">
        <f t="shared" si="4"/>
        <v>Yes</v>
      </c>
      <c r="N37" s="11">
        <f t="shared" si="1"/>
        <v>46272</v>
      </c>
      <c r="O37" s="9">
        <f t="shared" si="2"/>
        <v>46272</v>
      </c>
      <c r="P37" s="28" t="str">
        <f>IF(D37="Open",KPI!$K$13-B37,"")</f>
        <v/>
      </c>
      <c r="Q37" s="24" t="str">
        <f t="shared" si="3"/>
        <v/>
      </c>
    </row>
    <row r="38" spans="1:17">
      <c r="A38" s="2" t="s">
        <v>84</v>
      </c>
      <c r="B38" s="4">
        <v>46273</v>
      </c>
      <c r="C38" s="4">
        <v>46288</v>
      </c>
      <c r="D38" s="2" t="s">
        <v>25</v>
      </c>
      <c r="E38" s="2" t="s">
        <v>35</v>
      </c>
      <c r="F38" s="2" t="s">
        <v>27</v>
      </c>
      <c r="G38" s="2" t="s">
        <v>39</v>
      </c>
      <c r="H38" s="2" t="s">
        <v>29</v>
      </c>
      <c r="I38" s="6" t="s">
        <v>397</v>
      </c>
      <c r="K38" s="6">
        <f>_xlfn.XLOOKUP(Cases_Tbl[[#This Row],[Priority]],SLA_Table!$A$2:$A$4,SLA_Table!$B$2:$B$4)</f>
        <v>10</v>
      </c>
      <c r="L38" s="6">
        <f t="shared" si="0"/>
        <v>15</v>
      </c>
      <c r="M38" s="6" t="str">
        <f t="shared" si="4"/>
        <v>No</v>
      </c>
      <c r="N38" s="11">
        <f t="shared" si="1"/>
        <v>46272</v>
      </c>
      <c r="O38" s="9">
        <f t="shared" si="2"/>
        <v>46286</v>
      </c>
      <c r="P38" s="28" t="str">
        <f>IF(D38="Open",KPI!$K$13-B38,"")</f>
        <v/>
      </c>
      <c r="Q38" s="24" t="str">
        <f t="shared" si="3"/>
        <v/>
      </c>
    </row>
    <row r="39" spans="1:17">
      <c r="A39" s="2" t="s">
        <v>86</v>
      </c>
      <c r="B39" s="4">
        <v>46273</v>
      </c>
      <c r="C39" s="4">
        <v>46280</v>
      </c>
      <c r="D39" s="2" t="s">
        <v>25</v>
      </c>
      <c r="E39" s="2" t="s">
        <v>35</v>
      </c>
      <c r="F39" s="2" t="s">
        <v>27</v>
      </c>
      <c r="G39" s="2" t="s">
        <v>39</v>
      </c>
      <c r="H39" s="2" t="s">
        <v>54</v>
      </c>
      <c r="I39" s="2"/>
      <c r="K39" s="6">
        <f>_xlfn.XLOOKUP(Cases_Tbl[[#This Row],[Priority]],SLA_Table!$A$2:$A$4,SLA_Table!$B$2:$B$4)</f>
        <v>10</v>
      </c>
      <c r="L39" s="6">
        <f t="shared" si="0"/>
        <v>7</v>
      </c>
      <c r="M39" s="6" t="str">
        <f t="shared" si="4"/>
        <v>Yes</v>
      </c>
      <c r="N39" s="11">
        <f t="shared" si="1"/>
        <v>46272</v>
      </c>
      <c r="O39" s="9">
        <f t="shared" si="2"/>
        <v>46279</v>
      </c>
      <c r="P39" s="28" t="str">
        <f>IF(D39="Open",KPI!$K$13-B39,"")</f>
        <v/>
      </c>
      <c r="Q39" s="24" t="str">
        <f t="shared" si="3"/>
        <v/>
      </c>
    </row>
    <row r="40" spans="1:17">
      <c r="A40" s="2" t="s">
        <v>87</v>
      </c>
      <c r="B40" s="4">
        <v>46273</v>
      </c>
      <c r="C40" s="4">
        <v>46277</v>
      </c>
      <c r="D40" s="2" t="s">
        <v>25</v>
      </c>
      <c r="E40" s="2" t="s">
        <v>26</v>
      </c>
      <c r="F40" s="2" t="s">
        <v>41</v>
      </c>
      <c r="G40" s="2" t="s">
        <v>32</v>
      </c>
      <c r="H40" s="2" t="s">
        <v>48</v>
      </c>
      <c r="I40" s="2"/>
      <c r="K40" s="6">
        <f>_xlfn.XLOOKUP(Cases_Tbl[[#This Row],[Priority]],SLA_Table!$A$2:$A$4,SLA_Table!$B$2:$B$4)</f>
        <v>5</v>
      </c>
      <c r="L40" s="6">
        <f t="shared" si="0"/>
        <v>4</v>
      </c>
      <c r="M40" s="6" t="str">
        <f t="shared" si="4"/>
        <v>Yes</v>
      </c>
      <c r="N40" s="11">
        <f t="shared" si="1"/>
        <v>46272</v>
      </c>
      <c r="O40" s="9">
        <f t="shared" si="2"/>
        <v>46272</v>
      </c>
      <c r="P40" s="28" t="str">
        <f>IF(D40="Open",KPI!$K$13-B40,"")</f>
        <v/>
      </c>
      <c r="Q40" s="24" t="str">
        <f t="shared" si="3"/>
        <v/>
      </c>
    </row>
    <row r="41" spans="1:17">
      <c r="A41" s="2" t="s">
        <v>88</v>
      </c>
      <c r="B41" s="4">
        <v>46273</v>
      </c>
      <c r="C41" s="4">
        <v>46273</v>
      </c>
      <c r="D41" s="2" t="s">
        <v>25</v>
      </c>
      <c r="E41" s="2" t="s">
        <v>43</v>
      </c>
      <c r="F41" s="2" t="s">
        <v>31</v>
      </c>
      <c r="G41" s="2" t="s">
        <v>32</v>
      </c>
      <c r="H41" s="2" t="s">
        <v>29</v>
      </c>
      <c r="I41" s="2"/>
      <c r="K41" s="6">
        <f>_xlfn.XLOOKUP(Cases_Tbl[[#This Row],[Priority]],SLA_Table!$A$2:$A$4,SLA_Table!$B$2:$B$4)</f>
        <v>2</v>
      </c>
      <c r="L41" s="6">
        <f t="shared" si="0"/>
        <v>0</v>
      </c>
      <c r="M41" s="6" t="str">
        <f t="shared" si="4"/>
        <v>Yes</v>
      </c>
      <c r="N41" s="11">
        <f t="shared" si="1"/>
        <v>46272</v>
      </c>
      <c r="O41" s="9">
        <f t="shared" si="2"/>
        <v>46272</v>
      </c>
      <c r="P41" s="28" t="str">
        <f>IF(D41="Open",KPI!$K$13-B41,"")</f>
        <v/>
      </c>
      <c r="Q41" s="24" t="str">
        <f t="shared" si="3"/>
        <v/>
      </c>
    </row>
    <row r="42" spans="1:17">
      <c r="A42" s="2" t="s">
        <v>89</v>
      </c>
      <c r="B42" s="4">
        <v>46273</v>
      </c>
      <c r="C42" s="4">
        <v>46276</v>
      </c>
      <c r="D42" s="2" t="s">
        <v>25</v>
      </c>
      <c r="E42" s="2" t="s">
        <v>26</v>
      </c>
      <c r="F42" s="2" t="s">
        <v>41</v>
      </c>
      <c r="G42" s="2" t="s">
        <v>39</v>
      </c>
      <c r="H42" s="2" t="s">
        <v>48</v>
      </c>
      <c r="I42" s="2"/>
      <c r="K42" s="6">
        <f>_xlfn.XLOOKUP(Cases_Tbl[[#This Row],[Priority]],SLA_Table!$A$2:$A$4,SLA_Table!$B$2:$B$4)</f>
        <v>5</v>
      </c>
      <c r="L42" s="6">
        <f t="shared" si="0"/>
        <v>3</v>
      </c>
      <c r="M42" s="6" t="str">
        <f t="shared" si="4"/>
        <v>Yes</v>
      </c>
      <c r="N42" s="11">
        <f t="shared" si="1"/>
        <v>46272</v>
      </c>
      <c r="O42" s="9">
        <f t="shared" si="2"/>
        <v>46272</v>
      </c>
      <c r="P42" s="28" t="str">
        <f>IF(D42="Open",KPI!$K$13-B42,"")</f>
        <v/>
      </c>
      <c r="Q42" s="24" t="str">
        <f t="shared" si="3"/>
        <v/>
      </c>
    </row>
    <row r="43" spans="1:17">
      <c r="A43" s="2" t="s">
        <v>90</v>
      </c>
      <c r="B43" s="4">
        <v>46273</v>
      </c>
      <c r="C43" s="4">
        <v>46274</v>
      </c>
      <c r="D43" s="2" t="s">
        <v>25</v>
      </c>
      <c r="E43" s="2" t="s">
        <v>43</v>
      </c>
      <c r="F43" s="2" t="s">
        <v>38</v>
      </c>
      <c r="G43" s="2" t="s">
        <v>28</v>
      </c>
      <c r="H43" s="2" t="s">
        <v>44</v>
      </c>
      <c r="I43" s="2"/>
      <c r="K43" s="6">
        <f>_xlfn.XLOOKUP(Cases_Tbl[[#This Row],[Priority]],SLA_Table!$A$2:$A$4,SLA_Table!$B$2:$B$4)</f>
        <v>2</v>
      </c>
      <c r="L43" s="6">
        <f t="shared" si="0"/>
        <v>1</v>
      </c>
      <c r="M43" s="6" t="str">
        <f t="shared" si="4"/>
        <v>Yes</v>
      </c>
      <c r="N43" s="11">
        <f t="shared" si="1"/>
        <v>46272</v>
      </c>
      <c r="O43" s="9">
        <f t="shared" si="2"/>
        <v>46272</v>
      </c>
      <c r="P43" s="28" t="str">
        <f>IF(D43="Open",KPI!$K$13-B43,"")</f>
        <v/>
      </c>
      <c r="Q43" s="24" t="str">
        <f t="shared" si="3"/>
        <v/>
      </c>
    </row>
    <row r="44" spans="1:17">
      <c r="A44" s="2" t="s">
        <v>91</v>
      </c>
      <c r="B44" s="4">
        <v>46273</v>
      </c>
      <c r="C44" s="4">
        <v>46275</v>
      </c>
      <c r="D44" s="2" t="s">
        <v>25</v>
      </c>
      <c r="E44" s="2" t="s">
        <v>26</v>
      </c>
      <c r="F44" s="2" t="s">
        <v>47</v>
      </c>
      <c r="G44" s="2" t="s">
        <v>32</v>
      </c>
      <c r="H44" s="2" t="s">
        <v>44</v>
      </c>
      <c r="I44" s="2"/>
      <c r="K44" s="6">
        <f>_xlfn.XLOOKUP(Cases_Tbl[[#This Row],[Priority]],SLA_Table!$A$2:$A$4,SLA_Table!$B$2:$B$4)</f>
        <v>5</v>
      </c>
      <c r="L44" s="6">
        <f t="shared" si="0"/>
        <v>2</v>
      </c>
      <c r="M44" s="6" t="str">
        <f t="shared" si="4"/>
        <v>Yes</v>
      </c>
      <c r="N44" s="11">
        <f t="shared" si="1"/>
        <v>46272</v>
      </c>
      <c r="O44" s="9">
        <f t="shared" si="2"/>
        <v>46272</v>
      </c>
      <c r="P44" s="28" t="str">
        <f>IF(D44="Open",KPI!$K$13-B44,"")</f>
        <v/>
      </c>
      <c r="Q44" s="24" t="str">
        <f t="shared" si="3"/>
        <v/>
      </c>
    </row>
    <row r="45" spans="1:17">
      <c r="A45" s="2" t="s">
        <v>92</v>
      </c>
      <c r="B45" s="4">
        <v>46273</v>
      </c>
      <c r="C45" s="4">
        <v>46282</v>
      </c>
      <c r="D45" s="2" t="s">
        <v>25</v>
      </c>
      <c r="E45" s="2" t="s">
        <v>35</v>
      </c>
      <c r="F45" s="2" t="s">
        <v>47</v>
      </c>
      <c r="G45" s="2" t="s">
        <v>32</v>
      </c>
      <c r="H45" s="2" t="s">
        <v>33</v>
      </c>
      <c r="I45" s="2"/>
      <c r="K45" s="6">
        <f>_xlfn.XLOOKUP(Cases_Tbl[[#This Row],[Priority]],SLA_Table!$A$2:$A$4,SLA_Table!$B$2:$B$4)</f>
        <v>10</v>
      </c>
      <c r="L45" s="6">
        <f t="shared" si="0"/>
        <v>9</v>
      </c>
      <c r="M45" s="6" t="str">
        <f t="shared" si="4"/>
        <v>Yes</v>
      </c>
      <c r="N45" s="11">
        <f t="shared" si="1"/>
        <v>46272</v>
      </c>
      <c r="O45" s="9">
        <f t="shared" si="2"/>
        <v>46279</v>
      </c>
      <c r="P45" s="28" t="str">
        <f>IF(D45="Open",KPI!$K$13-B45,"")</f>
        <v/>
      </c>
      <c r="Q45" s="24" t="str">
        <f t="shared" si="3"/>
        <v/>
      </c>
    </row>
    <row r="46" spans="1:17">
      <c r="A46" s="2" t="s">
        <v>93</v>
      </c>
      <c r="B46" s="4">
        <v>46273</v>
      </c>
      <c r="C46" s="4">
        <v>46280</v>
      </c>
      <c r="D46" s="2" t="s">
        <v>25</v>
      </c>
      <c r="E46" s="2" t="s">
        <v>35</v>
      </c>
      <c r="F46" s="2" t="s">
        <v>38</v>
      </c>
      <c r="G46" s="2" t="s">
        <v>28</v>
      </c>
      <c r="H46" s="2" t="s">
        <v>48</v>
      </c>
      <c r="I46" s="2"/>
      <c r="K46" s="6">
        <f>_xlfn.XLOOKUP(Cases_Tbl[[#This Row],[Priority]],SLA_Table!$A$2:$A$4,SLA_Table!$B$2:$B$4)</f>
        <v>10</v>
      </c>
      <c r="L46" s="6">
        <f t="shared" si="0"/>
        <v>7</v>
      </c>
      <c r="M46" s="6" t="str">
        <f t="shared" si="4"/>
        <v>Yes</v>
      </c>
      <c r="N46" s="11">
        <f t="shared" si="1"/>
        <v>46272</v>
      </c>
      <c r="O46" s="9">
        <f t="shared" si="2"/>
        <v>46279</v>
      </c>
      <c r="P46" s="28" t="str">
        <f>IF(D46="Open",KPI!$K$13-B46,"")</f>
        <v/>
      </c>
      <c r="Q46" s="24" t="str">
        <f t="shared" si="3"/>
        <v/>
      </c>
    </row>
    <row r="47" spans="1:17">
      <c r="A47" s="2" t="s">
        <v>94</v>
      </c>
      <c r="B47" s="4">
        <v>46273</v>
      </c>
      <c r="C47" s="4">
        <v>46283</v>
      </c>
      <c r="D47" s="2" t="s">
        <v>25</v>
      </c>
      <c r="E47" s="2" t="s">
        <v>26</v>
      </c>
      <c r="F47" s="2" t="s">
        <v>41</v>
      </c>
      <c r="G47" s="2" t="s">
        <v>39</v>
      </c>
      <c r="H47" s="2" t="s">
        <v>48</v>
      </c>
      <c r="I47" s="2" t="s">
        <v>52</v>
      </c>
      <c r="K47" s="6">
        <f>_xlfn.XLOOKUP(Cases_Tbl[[#This Row],[Priority]],SLA_Table!$A$2:$A$4,SLA_Table!$B$2:$B$4)</f>
        <v>5</v>
      </c>
      <c r="L47" s="6">
        <f t="shared" si="0"/>
        <v>10</v>
      </c>
      <c r="M47" s="6" t="str">
        <f t="shared" si="4"/>
        <v>No</v>
      </c>
      <c r="N47" s="11">
        <f t="shared" si="1"/>
        <v>46272</v>
      </c>
      <c r="O47" s="9">
        <f t="shared" si="2"/>
        <v>46279</v>
      </c>
      <c r="P47" s="28" t="str">
        <f>IF(D47="Open",KPI!$K$13-B47,"")</f>
        <v/>
      </c>
      <c r="Q47" s="24" t="str">
        <f t="shared" si="3"/>
        <v/>
      </c>
    </row>
    <row r="48" spans="1:17">
      <c r="A48" s="2" t="s">
        <v>95</v>
      </c>
      <c r="B48" s="4">
        <v>46274</v>
      </c>
      <c r="C48" s="4">
        <v>46283</v>
      </c>
      <c r="D48" s="2" t="s">
        <v>25</v>
      </c>
      <c r="E48" s="2" t="s">
        <v>26</v>
      </c>
      <c r="F48" s="2" t="s">
        <v>38</v>
      </c>
      <c r="G48" s="2" t="s">
        <v>39</v>
      </c>
      <c r="H48" s="2" t="s">
        <v>48</v>
      </c>
      <c r="I48" s="2" t="s">
        <v>55</v>
      </c>
      <c r="K48" s="6">
        <f>_xlfn.XLOOKUP(Cases_Tbl[[#This Row],[Priority]],SLA_Table!$A$2:$A$4,SLA_Table!$B$2:$B$4)</f>
        <v>5</v>
      </c>
      <c r="L48" s="6">
        <f t="shared" si="0"/>
        <v>9</v>
      </c>
      <c r="M48" s="6" t="str">
        <f t="shared" si="4"/>
        <v>No</v>
      </c>
      <c r="N48" s="11">
        <f t="shared" si="1"/>
        <v>46272</v>
      </c>
      <c r="O48" s="9">
        <f t="shared" si="2"/>
        <v>46279</v>
      </c>
      <c r="P48" s="28" t="str">
        <f>IF(D48="Open",KPI!$K$13-B48,"")</f>
        <v/>
      </c>
      <c r="Q48" s="24" t="str">
        <f t="shared" si="3"/>
        <v/>
      </c>
    </row>
    <row r="49" spans="1:17">
      <c r="A49" s="2" t="s">
        <v>96</v>
      </c>
      <c r="B49" s="4">
        <v>46274</v>
      </c>
      <c r="C49" s="4">
        <v>46280</v>
      </c>
      <c r="D49" s="2" t="s">
        <v>25</v>
      </c>
      <c r="E49" s="2" t="s">
        <v>35</v>
      </c>
      <c r="F49" s="2" t="s">
        <v>38</v>
      </c>
      <c r="G49" s="2" t="s">
        <v>39</v>
      </c>
      <c r="H49" s="2" t="s">
        <v>54</v>
      </c>
      <c r="I49" s="2"/>
      <c r="K49" s="6">
        <f>_xlfn.XLOOKUP(Cases_Tbl[[#This Row],[Priority]],SLA_Table!$A$2:$A$4,SLA_Table!$B$2:$B$4)</f>
        <v>10</v>
      </c>
      <c r="L49" s="6">
        <f t="shared" si="0"/>
        <v>6</v>
      </c>
      <c r="M49" s="6" t="str">
        <f t="shared" si="4"/>
        <v>Yes</v>
      </c>
      <c r="N49" s="11">
        <f t="shared" si="1"/>
        <v>46272</v>
      </c>
      <c r="O49" s="9">
        <f t="shared" si="2"/>
        <v>46279</v>
      </c>
      <c r="P49" s="28" t="str">
        <f>IF(D49="Open",KPI!$K$13-B49,"")</f>
        <v/>
      </c>
      <c r="Q49" s="24" t="str">
        <f t="shared" si="3"/>
        <v/>
      </c>
    </row>
    <row r="50" spans="1:17">
      <c r="A50" s="2" t="s">
        <v>97</v>
      </c>
      <c r="B50" s="4">
        <v>46274</v>
      </c>
      <c r="C50" s="4">
        <v>46286</v>
      </c>
      <c r="D50" s="2" t="s">
        <v>25</v>
      </c>
      <c r="E50" s="2" t="s">
        <v>35</v>
      </c>
      <c r="F50" s="2" t="s">
        <v>31</v>
      </c>
      <c r="G50" s="2" t="s">
        <v>32</v>
      </c>
      <c r="H50" s="2" t="s">
        <v>29</v>
      </c>
      <c r="I50" s="2" t="s">
        <v>98</v>
      </c>
      <c r="K50" s="6">
        <f>_xlfn.XLOOKUP(Cases_Tbl[[#This Row],[Priority]],SLA_Table!$A$2:$A$4,SLA_Table!$B$2:$B$4)</f>
        <v>10</v>
      </c>
      <c r="L50" s="6">
        <f t="shared" si="0"/>
        <v>12</v>
      </c>
      <c r="M50" s="6" t="str">
        <f t="shared" si="4"/>
        <v>No</v>
      </c>
      <c r="N50" s="11">
        <f t="shared" si="1"/>
        <v>46272</v>
      </c>
      <c r="O50" s="9">
        <f t="shared" si="2"/>
        <v>46286</v>
      </c>
      <c r="P50" s="28" t="str">
        <f>IF(D50="Open",KPI!$K$13-B50,"")</f>
        <v/>
      </c>
      <c r="Q50" s="24" t="str">
        <f t="shared" si="3"/>
        <v/>
      </c>
    </row>
    <row r="51" spans="1:17">
      <c r="A51" s="2" t="s">
        <v>99</v>
      </c>
      <c r="B51" s="4">
        <v>46274</v>
      </c>
      <c r="C51" s="4">
        <v>46274</v>
      </c>
      <c r="D51" s="2" t="s">
        <v>25</v>
      </c>
      <c r="E51" s="2" t="s">
        <v>43</v>
      </c>
      <c r="F51" s="2" t="s">
        <v>31</v>
      </c>
      <c r="G51" s="2" t="s">
        <v>39</v>
      </c>
      <c r="H51" s="2" t="s">
        <v>54</v>
      </c>
      <c r="I51" s="2"/>
      <c r="K51" s="6">
        <f>_xlfn.XLOOKUP(Cases_Tbl[[#This Row],[Priority]],SLA_Table!$A$2:$A$4,SLA_Table!$B$2:$B$4)</f>
        <v>2</v>
      </c>
      <c r="L51" s="6">
        <f t="shared" si="0"/>
        <v>0</v>
      </c>
      <c r="M51" s="6" t="str">
        <f t="shared" si="4"/>
        <v>Yes</v>
      </c>
      <c r="N51" s="11">
        <f t="shared" si="1"/>
        <v>46272</v>
      </c>
      <c r="O51" s="9">
        <f t="shared" si="2"/>
        <v>46272</v>
      </c>
      <c r="P51" s="28" t="str">
        <f>IF(D51="Open",KPI!$K$13-B51,"")</f>
        <v/>
      </c>
      <c r="Q51" s="24" t="str">
        <f t="shared" si="3"/>
        <v/>
      </c>
    </row>
    <row r="52" spans="1:17">
      <c r="A52" s="2" t="s">
        <v>100</v>
      </c>
      <c r="B52" s="4">
        <v>46274</v>
      </c>
      <c r="C52" s="4">
        <v>46275</v>
      </c>
      <c r="D52" s="2" t="s">
        <v>25</v>
      </c>
      <c r="E52" s="2" t="s">
        <v>26</v>
      </c>
      <c r="F52" s="2" t="s">
        <v>41</v>
      </c>
      <c r="G52" s="2" t="s">
        <v>39</v>
      </c>
      <c r="H52" s="2" t="s">
        <v>54</v>
      </c>
      <c r="I52" s="2"/>
      <c r="K52" s="6">
        <f>_xlfn.XLOOKUP(Cases_Tbl[[#This Row],[Priority]],SLA_Table!$A$2:$A$4,SLA_Table!$B$2:$B$4)</f>
        <v>5</v>
      </c>
      <c r="L52" s="6">
        <f t="shared" si="0"/>
        <v>1</v>
      </c>
      <c r="M52" s="6" t="str">
        <f t="shared" si="4"/>
        <v>Yes</v>
      </c>
      <c r="N52" s="11">
        <f t="shared" si="1"/>
        <v>46272</v>
      </c>
      <c r="O52" s="9">
        <f t="shared" si="2"/>
        <v>46272</v>
      </c>
      <c r="P52" s="28" t="str">
        <f>IF(D52="Open",KPI!$K$13-B52,"")</f>
        <v/>
      </c>
      <c r="Q52" s="24" t="str">
        <f t="shared" si="3"/>
        <v/>
      </c>
    </row>
    <row r="53" spans="1:17">
      <c r="A53" s="2" t="s">
        <v>101</v>
      </c>
      <c r="B53" s="4">
        <v>46274</v>
      </c>
      <c r="C53" s="4">
        <v>46286</v>
      </c>
      <c r="D53" s="2" t="s">
        <v>25</v>
      </c>
      <c r="E53" s="2" t="s">
        <v>35</v>
      </c>
      <c r="F53" s="2" t="s">
        <v>27</v>
      </c>
      <c r="G53" s="2" t="s">
        <v>39</v>
      </c>
      <c r="H53" s="2" t="s">
        <v>48</v>
      </c>
      <c r="I53" s="2" t="s">
        <v>55</v>
      </c>
      <c r="K53" s="6">
        <f>_xlfn.XLOOKUP(Cases_Tbl[[#This Row],[Priority]],SLA_Table!$A$2:$A$4,SLA_Table!$B$2:$B$4)</f>
        <v>10</v>
      </c>
      <c r="L53" s="6">
        <f t="shared" si="0"/>
        <v>12</v>
      </c>
      <c r="M53" s="6" t="str">
        <f t="shared" si="4"/>
        <v>No</v>
      </c>
      <c r="N53" s="11">
        <f t="shared" si="1"/>
        <v>46272</v>
      </c>
      <c r="O53" s="9">
        <f t="shared" si="2"/>
        <v>46286</v>
      </c>
      <c r="P53" s="28" t="str">
        <f>IF(D53="Open",KPI!$K$13-B53,"")</f>
        <v/>
      </c>
      <c r="Q53" s="24" t="str">
        <f t="shared" si="3"/>
        <v/>
      </c>
    </row>
    <row r="54" spans="1:17">
      <c r="A54" s="2" t="s">
        <v>102</v>
      </c>
      <c r="B54" s="4">
        <v>46274</v>
      </c>
      <c r="C54" s="4">
        <v>46285</v>
      </c>
      <c r="D54" s="2" t="s">
        <v>25</v>
      </c>
      <c r="E54" s="2" t="s">
        <v>35</v>
      </c>
      <c r="F54" s="2" t="s">
        <v>47</v>
      </c>
      <c r="G54" s="2" t="s">
        <v>32</v>
      </c>
      <c r="H54" s="2" t="s">
        <v>33</v>
      </c>
      <c r="I54" s="2" t="s">
        <v>55</v>
      </c>
      <c r="K54" s="6">
        <f>_xlfn.XLOOKUP(Cases_Tbl[[#This Row],[Priority]],SLA_Table!$A$2:$A$4,SLA_Table!$B$2:$B$4)</f>
        <v>10</v>
      </c>
      <c r="L54" s="6">
        <f t="shared" si="0"/>
        <v>11</v>
      </c>
      <c r="M54" s="6" t="str">
        <f t="shared" si="4"/>
        <v>No</v>
      </c>
      <c r="N54" s="11">
        <f t="shared" si="1"/>
        <v>46272</v>
      </c>
      <c r="O54" s="9">
        <f t="shared" si="2"/>
        <v>46279</v>
      </c>
      <c r="P54" s="28" t="str">
        <f>IF(D54="Open",KPI!$K$13-B54,"")</f>
        <v/>
      </c>
      <c r="Q54" s="24" t="str">
        <f t="shared" si="3"/>
        <v/>
      </c>
    </row>
    <row r="55" spans="1:17">
      <c r="A55" s="2" t="s">
        <v>103</v>
      </c>
      <c r="B55" s="4">
        <v>46274</v>
      </c>
      <c r="C55" s="4">
        <v>46275</v>
      </c>
      <c r="D55" s="2" t="s">
        <v>25</v>
      </c>
      <c r="E55" s="2" t="s">
        <v>43</v>
      </c>
      <c r="F55" s="2" t="s">
        <v>41</v>
      </c>
      <c r="G55" s="2" t="s">
        <v>28</v>
      </c>
      <c r="H55" s="2" t="s">
        <v>44</v>
      </c>
      <c r="I55" s="2"/>
      <c r="K55" s="6">
        <f>_xlfn.XLOOKUP(Cases_Tbl[[#This Row],[Priority]],SLA_Table!$A$2:$A$4,SLA_Table!$B$2:$B$4)</f>
        <v>2</v>
      </c>
      <c r="L55" s="6">
        <f t="shared" si="0"/>
        <v>1</v>
      </c>
      <c r="M55" s="6" t="str">
        <f t="shared" si="4"/>
        <v>Yes</v>
      </c>
      <c r="N55" s="11">
        <f t="shared" si="1"/>
        <v>46272</v>
      </c>
      <c r="O55" s="9">
        <f t="shared" si="2"/>
        <v>46272</v>
      </c>
      <c r="P55" s="28" t="str">
        <f>IF(D55="Open",KPI!$K$13-B55,"")</f>
        <v/>
      </c>
      <c r="Q55" s="24" t="str">
        <f t="shared" si="3"/>
        <v/>
      </c>
    </row>
    <row r="56" spans="1:17">
      <c r="A56" s="2" t="s">
        <v>104</v>
      </c>
      <c r="B56" s="4">
        <v>46274</v>
      </c>
      <c r="C56" s="4">
        <v>46280</v>
      </c>
      <c r="D56" s="2" t="s">
        <v>25</v>
      </c>
      <c r="E56" s="2" t="s">
        <v>35</v>
      </c>
      <c r="F56" s="2" t="s">
        <v>31</v>
      </c>
      <c r="G56" s="2" t="s">
        <v>32</v>
      </c>
      <c r="H56" s="2" t="s">
        <v>44</v>
      </c>
      <c r="I56" s="2"/>
      <c r="K56" s="6">
        <f>_xlfn.XLOOKUP(Cases_Tbl[[#This Row],[Priority]],SLA_Table!$A$2:$A$4,SLA_Table!$B$2:$B$4)</f>
        <v>10</v>
      </c>
      <c r="L56" s="6">
        <f t="shared" si="0"/>
        <v>6</v>
      </c>
      <c r="M56" s="6" t="str">
        <f t="shared" si="4"/>
        <v>Yes</v>
      </c>
      <c r="N56" s="11">
        <f t="shared" si="1"/>
        <v>46272</v>
      </c>
      <c r="O56" s="9">
        <f t="shared" si="2"/>
        <v>46279</v>
      </c>
      <c r="P56" s="28" t="str">
        <f>IF(D56="Open",KPI!$K$13-B56,"")</f>
        <v/>
      </c>
      <c r="Q56" s="24" t="str">
        <f t="shared" si="3"/>
        <v/>
      </c>
    </row>
    <row r="57" spans="1:17">
      <c r="A57" s="2" t="s">
        <v>105</v>
      </c>
      <c r="B57" s="4">
        <v>46275</v>
      </c>
      <c r="C57" s="4">
        <v>46280</v>
      </c>
      <c r="D57" s="2" t="s">
        <v>25</v>
      </c>
      <c r="E57" s="2" t="s">
        <v>26</v>
      </c>
      <c r="F57" s="2" t="s">
        <v>41</v>
      </c>
      <c r="G57" s="2" t="s">
        <v>32</v>
      </c>
      <c r="H57" s="2" t="s">
        <v>33</v>
      </c>
      <c r="I57" s="2"/>
      <c r="K57" s="6">
        <f>_xlfn.XLOOKUP(Cases_Tbl[[#This Row],[Priority]],SLA_Table!$A$2:$A$4,SLA_Table!$B$2:$B$4)</f>
        <v>5</v>
      </c>
      <c r="L57" s="6">
        <f t="shared" si="0"/>
        <v>5</v>
      </c>
      <c r="M57" s="6" t="str">
        <f t="shared" si="4"/>
        <v>Yes</v>
      </c>
      <c r="N57" s="11">
        <f t="shared" si="1"/>
        <v>46272</v>
      </c>
      <c r="O57" s="9">
        <f t="shared" si="2"/>
        <v>46279</v>
      </c>
      <c r="P57" s="28" t="str">
        <f>IF(D57="Open",KPI!$K$13-B57,"")</f>
        <v/>
      </c>
      <c r="Q57" s="24" t="str">
        <f t="shared" si="3"/>
        <v/>
      </c>
    </row>
    <row r="58" spans="1:17">
      <c r="A58" s="2" t="s">
        <v>106</v>
      </c>
      <c r="B58" s="4">
        <v>46275</v>
      </c>
      <c r="C58" s="4">
        <v>46283</v>
      </c>
      <c r="D58" s="2" t="s">
        <v>25</v>
      </c>
      <c r="E58" s="2" t="s">
        <v>35</v>
      </c>
      <c r="F58" s="2" t="s">
        <v>41</v>
      </c>
      <c r="G58" s="2" t="s">
        <v>39</v>
      </c>
      <c r="H58" s="2" t="s">
        <v>44</v>
      </c>
      <c r="I58" s="2"/>
      <c r="K58" s="6">
        <f>_xlfn.XLOOKUP(Cases_Tbl[[#This Row],[Priority]],SLA_Table!$A$2:$A$4,SLA_Table!$B$2:$B$4)</f>
        <v>10</v>
      </c>
      <c r="L58" s="6">
        <f t="shared" si="0"/>
        <v>8</v>
      </c>
      <c r="M58" s="6" t="str">
        <f t="shared" si="4"/>
        <v>Yes</v>
      </c>
      <c r="N58" s="11">
        <f t="shared" si="1"/>
        <v>46272</v>
      </c>
      <c r="O58" s="9">
        <f t="shared" si="2"/>
        <v>46279</v>
      </c>
      <c r="P58" s="28" t="str">
        <f>IF(D58="Open",KPI!$K$13-B58,"")</f>
        <v/>
      </c>
      <c r="Q58" s="24" t="str">
        <f t="shared" si="3"/>
        <v/>
      </c>
    </row>
    <row r="59" spans="1:17">
      <c r="A59" s="2" t="s">
        <v>107</v>
      </c>
      <c r="B59" s="4">
        <v>46276</v>
      </c>
      <c r="C59" s="4">
        <v>46286</v>
      </c>
      <c r="D59" s="2" t="s">
        <v>25</v>
      </c>
      <c r="E59" s="2" t="s">
        <v>35</v>
      </c>
      <c r="F59" s="2" t="s">
        <v>41</v>
      </c>
      <c r="G59" s="2" t="s">
        <v>32</v>
      </c>
      <c r="H59" s="2" t="s">
        <v>44</v>
      </c>
      <c r="I59" s="2"/>
      <c r="K59" s="6">
        <f>_xlfn.XLOOKUP(Cases_Tbl[[#This Row],[Priority]],SLA_Table!$A$2:$A$4,SLA_Table!$B$2:$B$4)</f>
        <v>10</v>
      </c>
      <c r="L59" s="6">
        <f t="shared" si="0"/>
        <v>10</v>
      </c>
      <c r="M59" s="6" t="str">
        <f t="shared" si="4"/>
        <v>Yes</v>
      </c>
      <c r="N59" s="11">
        <f t="shared" si="1"/>
        <v>46272</v>
      </c>
      <c r="O59" s="9">
        <f t="shared" si="2"/>
        <v>46286</v>
      </c>
      <c r="P59" s="28" t="str">
        <f>IF(D59="Open",KPI!$K$13-B59,"")</f>
        <v/>
      </c>
      <c r="Q59" s="24" t="str">
        <f t="shared" si="3"/>
        <v/>
      </c>
    </row>
    <row r="60" spans="1:17">
      <c r="A60" s="2" t="s">
        <v>108</v>
      </c>
      <c r="B60" s="4">
        <v>46277</v>
      </c>
      <c r="C60" s="4">
        <v>46278</v>
      </c>
      <c r="D60" s="2" t="s">
        <v>25</v>
      </c>
      <c r="E60" s="2" t="s">
        <v>43</v>
      </c>
      <c r="F60" s="2" t="s">
        <v>41</v>
      </c>
      <c r="G60" s="2" t="s">
        <v>39</v>
      </c>
      <c r="H60" s="2" t="s">
        <v>33</v>
      </c>
      <c r="I60" s="2"/>
      <c r="K60" s="6">
        <f>_xlfn.XLOOKUP(Cases_Tbl[[#This Row],[Priority]],SLA_Table!$A$2:$A$4,SLA_Table!$B$2:$B$4)</f>
        <v>2</v>
      </c>
      <c r="L60" s="6">
        <f t="shared" si="0"/>
        <v>1</v>
      </c>
      <c r="M60" s="6" t="str">
        <f t="shared" si="4"/>
        <v>Yes</v>
      </c>
      <c r="N60" s="11">
        <f t="shared" si="1"/>
        <v>46272</v>
      </c>
      <c r="O60" s="9">
        <f t="shared" si="2"/>
        <v>46272</v>
      </c>
      <c r="P60" s="28" t="str">
        <f>IF(D60="Open",KPI!$K$13-B60,"")</f>
        <v/>
      </c>
      <c r="Q60" s="24" t="str">
        <f t="shared" si="3"/>
        <v/>
      </c>
    </row>
    <row r="61" spans="1:17">
      <c r="A61" s="2" t="s">
        <v>109</v>
      </c>
      <c r="B61" s="4">
        <v>46277</v>
      </c>
      <c r="C61" s="4">
        <v>46280</v>
      </c>
      <c r="D61" s="2" t="s">
        <v>25</v>
      </c>
      <c r="E61" s="2" t="s">
        <v>26</v>
      </c>
      <c r="F61" s="2" t="s">
        <v>47</v>
      </c>
      <c r="G61" s="2" t="s">
        <v>39</v>
      </c>
      <c r="H61" s="2" t="s">
        <v>29</v>
      </c>
      <c r="I61" s="2"/>
      <c r="K61" s="6">
        <f>_xlfn.XLOOKUP(Cases_Tbl[[#This Row],[Priority]],SLA_Table!$A$2:$A$4,SLA_Table!$B$2:$B$4)</f>
        <v>5</v>
      </c>
      <c r="L61" s="6">
        <f t="shared" si="0"/>
        <v>3</v>
      </c>
      <c r="M61" s="6" t="str">
        <f t="shared" si="4"/>
        <v>Yes</v>
      </c>
      <c r="N61" s="11">
        <f t="shared" si="1"/>
        <v>46272</v>
      </c>
      <c r="O61" s="9">
        <f t="shared" si="2"/>
        <v>46279</v>
      </c>
      <c r="P61" s="28" t="str">
        <f>IF(D61="Open",KPI!$K$13-B61,"")</f>
        <v/>
      </c>
      <c r="Q61" s="24" t="str">
        <f t="shared" si="3"/>
        <v/>
      </c>
    </row>
    <row r="62" spans="1:17">
      <c r="A62" s="2" t="s">
        <v>110</v>
      </c>
      <c r="B62" s="4">
        <v>46277</v>
      </c>
      <c r="C62" s="4">
        <v>46279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48</v>
      </c>
      <c r="I62" s="2"/>
      <c r="K62" s="6">
        <f>_xlfn.XLOOKUP(Cases_Tbl[[#This Row],[Priority]],SLA_Table!$A$2:$A$4,SLA_Table!$B$2:$B$4)</f>
        <v>5</v>
      </c>
      <c r="L62" s="6">
        <f t="shared" si="0"/>
        <v>2</v>
      </c>
      <c r="M62" s="6" t="str">
        <f t="shared" si="4"/>
        <v>Yes</v>
      </c>
      <c r="N62" s="11">
        <f t="shared" si="1"/>
        <v>46272</v>
      </c>
      <c r="O62" s="9">
        <f t="shared" si="2"/>
        <v>46279</v>
      </c>
      <c r="P62" s="28" t="str">
        <f>IF(D62="Open",KPI!$K$13-B62,"")</f>
        <v/>
      </c>
      <c r="Q62" s="24" t="str">
        <f t="shared" si="3"/>
        <v/>
      </c>
    </row>
    <row r="63" spans="1:17">
      <c r="A63" s="2" t="s">
        <v>111</v>
      </c>
      <c r="B63" s="4">
        <v>46277</v>
      </c>
      <c r="C63" s="4">
        <v>46277</v>
      </c>
      <c r="D63" s="2" t="s">
        <v>25</v>
      </c>
      <c r="E63" s="2" t="s">
        <v>43</v>
      </c>
      <c r="F63" s="2" t="s">
        <v>41</v>
      </c>
      <c r="G63" s="2" t="s">
        <v>28</v>
      </c>
      <c r="H63" s="2" t="s">
        <v>36</v>
      </c>
      <c r="I63" s="2"/>
      <c r="K63" s="6">
        <f>_xlfn.XLOOKUP(Cases_Tbl[[#This Row],[Priority]],SLA_Table!$A$2:$A$4,SLA_Table!$B$2:$B$4)</f>
        <v>2</v>
      </c>
      <c r="L63" s="6">
        <f t="shared" si="0"/>
        <v>0</v>
      </c>
      <c r="M63" s="6" t="str">
        <f t="shared" si="4"/>
        <v>Yes</v>
      </c>
      <c r="N63" s="11">
        <f t="shared" si="1"/>
        <v>46272</v>
      </c>
      <c r="O63" s="9">
        <f t="shared" si="2"/>
        <v>46272</v>
      </c>
      <c r="P63" s="28" t="str">
        <f>IF(D63="Open",KPI!$K$13-B63,"")</f>
        <v/>
      </c>
      <c r="Q63" s="24" t="str">
        <f t="shared" si="3"/>
        <v/>
      </c>
    </row>
    <row r="64" spans="1:17">
      <c r="A64" s="2" t="s">
        <v>112</v>
      </c>
      <c r="B64" s="4">
        <v>46277</v>
      </c>
      <c r="C64" s="4">
        <v>46283</v>
      </c>
      <c r="D64" s="2" t="s">
        <v>25</v>
      </c>
      <c r="E64" s="6" t="s">
        <v>380</v>
      </c>
      <c r="F64" s="2" t="s">
        <v>27</v>
      </c>
      <c r="G64" s="2" t="s">
        <v>28</v>
      </c>
      <c r="H64" s="2" t="s">
        <v>29</v>
      </c>
      <c r="I64" s="2"/>
      <c r="K64" s="6">
        <f>_xlfn.XLOOKUP(Cases_Tbl[[#This Row],[Priority]],SLA_Table!$A$2:$A$4,SLA_Table!$B$2:$B$4)</f>
        <v>10</v>
      </c>
      <c r="L64" s="6">
        <f t="shared" si="0"/>
        <v>6</v>
      </c>
      <c r="M64" s="6" t="str">
        <f t="shared" si="4"/>
        <v>Yes</v>
      </c>
      <c r="N64" s="11">
        <f t="shared" si="1"/>
        <v>46272</v>
      </c>
      <c r="O64" s="9">
        <f t="shared" si="2"/>
        <v>46279</v>
      </c>
      <c r="P64" s="28" t="str">
        <f>IF(D64="Open",KPI!$K$13-B64,"")</f>
        <v/>
      </c>
      <c r="Q64" s="24" t="str">
        <f t="shared" si="3"/>
        <v/>
      </c>
    </row>
    <row r="65" spans="1:17">
      <c r="A65" s="2" t="s">
        <v>114</v>
      </c>
      <c r="B65" s="4">
        <v>46277</v>
      </c>
      <c r="C65" s="4">
        <v>46286</v>
      </c>
      <c r="D65" s="2" t="s">
        <v>25</v>
      </c>
      <c r="E65" s="2" t="s">
        <v>35</v>
      </c>
      <c r="F65" s="2" t="s">
        <v>47</v>
      </c>
      <c r="G65" s="2" t="s">
        <v>39</v>
      </c>
      <c r="H65" s="2" t="s">
        <v>54</v>
      </c>
      <c r="I65" s="2"/>
      <c r="K65" s="6">
        <f>_xlfn.XLOOKUP(Cases_Tbl[[#This Row],[Priority]],SLA_Table!$A$2:$A$4,SLA_Table!$B$2:$B$4)</f>
        <v>10</v>
      </c>
      <c r="L65" s="6">
        <f t="shared" si="0"/>
        <v>9</v>
      </c>
      <c r="M65" s="6" t="str">
        <f t="shared" si="4"/>
        <v>Yes</v>
      </c>
      <c r="N65" s="11">
        <f t="shared" si="1"/>
        <v>46272</v>
      </c>
      <c r="O65" s="9">
        <f t="shared" si="2"/>
        <v>46286</v>
      </c>
      <c r="P65" s="28" t="str">
        <f>IF(D65="Open",KPI!$K$13-B65,"")</f>
        <v/>
      </c>
      <c r="Q65" s="24" t="str">
        <f t="shared" si="3"/>
        <v/>
      </c>
    </row>
    <row r="66" spans="1:17">
      <c r="A66" s="2" t="s">
        <v>115</v>
      </c>
      <c r="B66" s="4">
        <v>46278</v>
      </c>
      <c r="C66" s="4">
        <v>46283</v>
      </c>
      <c r="D66" s="2" t="s">
        <v>25</v>
      </c>
      <c r="E66" s="2" t="s">
        <v>26</v>
      </c>
      <c r="F66" s="2" t="s">
        <v>41</v>
      </c>
      <c r="G66" s="2" t="s">
        <v>39</v>
      </c>
      <c r="H66" s="2" t="s">
        <v>29</v>
      </c>
      <c r="I66" s="2"/>
      <c r="K66" s="6">
        <f>_xlfn.XLOOKUP(Cases_Tbl[[#This Row],[Priority]],SLA_Table!$A$2:$A$4,SLA_Table!$B$2:$B$4)</f>
        <v>5</v>
      </c>
      <c r="L66" s="6">
        <f t="shared" ref="L66:L129" si="5">IF(OR(C66="",J66&lt;&gt;""),"",C66-B66)</f>
        <v>5</v>
      </c>
      <c r="M66" s="6" t="str">
        <f t="shared" ref="M66:M129" si="6">IF(L66="","",IF(L66&lt;=K66,"Yes","No"))</f>
        <v>Yes</v>
      </c>
      <c r="N66" s="11">
        <f t="shared" ref="N66:N129" si="7">B66-WEEKDAY(B66,2)+1</f>
        <v>46272</v>
      </c>
      <c r="O66" s="9">
        <f t="shared" ref="O66:O129" si="8">IF(C66="","",C66-WEEKDAY(C66,2)+1)</f>
        <v>46279</v>
      </c>
      <c r="P66" s="28" t="str">
        <f>IF(D66="Open",KPI!$K$13-B66,"")</f>
        <v/>
      </c>
      <c r="Q66" s="24" t="str">
        <f t="shared" ref="Q66:Q129" si="9">IF(P66="","",IF(P66&gt;K66,"Yes","No"))</f>
        <v/>
      </c>
    </row>
    <row r="67" spans="1:17">
      <c r="A67" s="2" t="s">
        <v>116</v>
      </c>
      <c r="B67" s="4">
        <v>46278</v>
      </c>
      <c r="C67" s="4">
        <v>46282</v>
      </c>
      <c r="D67" s="2" t="s">
        <v>25</v>
      </c>
      <c r="E67" s="2" t="s">
        <v>43</v>
      </c>
      <c r="F67" s="2" t="s">
        <v>38</v>
      </c>
      <c r="G67" s="2" t="s">
        <v>32</v>
      </c>
      <c r="H67" s="2" t="s">
        <v>36</v>
      </c>
      <c r="I67" s="2" t="s">
        <v>52</v>
      </c>
      <c r="K67" s="6">
        <f>_xlfn.XLOOKUP(Cases_Tbl[[#This Row],[Priority]],SLA_Table!$A$2:$A$4,SLA_Table!$B$2:$B$4)</f>
        <v>2</v>
      </c>
      <c r="L67" s="6">
        <f t="shared" si="5"/>
        <v>4</v>
      </c>
      <c r="M67" s="6" t="str">
        <f t="shared" si="6"/>
        <v>No</v>
      </c>
      <c r="N67" s="11">
        <f t="shared" si="7"/>
        <v>46272</v>
      </c>
      <c r="O67" s="9">
        <f t="shared" si="8"/>
        <v>46279</v>
      </c>
      <c r="P67" s="28" t="str">
        <f>IF(D67="Open",KPI!$K$13-B67,"")</f>
        <v/>
      </c>
      <c r="Q67" s="24" t="str">
        <f t="shared" si="9"/>
        <v/>
      </c>
    </row>
    <row r="68" spans="1:17">
      <c r="A68" s="2" t="s">
        <v>117</v>
      </c>
      <c r="B68" s="4">
        <v>46278</v>
      </c>
      <c r="C68" s="4">
        <v>46287</v>
      </c>
      <c r="D68" s="2" t="s">
        <v>25</v>
      </c>
      <c r="E68" s="2" t="s">
        <v>35</v>
      </c>
      <c r="F68" s="2" t="s">
        <v>47</v>
      </c>
      <c r="G68" s="2" t="s">
        <v>28</v>
      </c>
      <c r="H68" s="2" t="s">
        <v>48</v>
      </c>
      <c r="I68" s="2"/>
      <c r="K68" s="6">
        <f>_xlfn.XLOOKUP(Cases_Tbl[[#This Row],[Priority]],SLA_Table!$A$2:$A$4,SLA_Table!$B$2:$B$4)</f>
        <v>10</v>
      </c>
      <c r="L68" s="6">
        <f t="shared" si="5"/>
        <v>9</v>
      </c>
      <c r="M68" s="6" t="str">
        <f t="shared" si="6"/>
        <v>Yes</v>
      </c>
      <c r="N68" s="11">
        <f t="shared" si="7"/>
        <v>46272</v>
      </c>
      <c r="O68" s="9">
        <f t="shared" si="8"/>
        <v>46286</v>
      </c>
      <c r="P68" s="28" t="str">
        <f>IF(D68="Open",KPI!$K$13-B68,"")</f>
        <v/>
      </c>
      <c r="Q68" s="24" t="str">
        <f t="shared" si="9"/>
        <v/>
      </c>
    </row>
    <row r="69" spans="1:17">
      <c r="A69" s="2" t="s">
        <v>118</v>
      </c>
      <c r="B69" s="4">
        <v>46279</v>
      </c>
      <c r="C69" s="4">
        <v>46286</v>
      </c>
      <c r="D69" s="2" t="s">
        <v>25</v>
      </c>
      <c r="E69" s="2" t="s">
        <v>35</v>
      </c>
      <c r="F69" s="2" t="s">
        <v>38</v>
      </c>
      <c r="G69" s="2" t="s">
        <v>39</v>
      </c>
      <c r="H69" s="2" t="s">
        <v>44</v>
      </c>
      <c r="I69" s="2"/>
      <c r="K69" s="6">
        <f>_xlfn.XLOOKUP(Cases_Tbl[[#This Row],[Priority]],SLA_Table!$A$2:$A$4,SLA_Table!$B$2:$B$4)</f>
        <v>10</v>
      </c>
      <c r="L69" s="6">
        <f t="shared" si="5"/>
        <v>7</v>
      </c>
      <c r="M69" s="6" t="str">
        <f t="shared" si="6"/>
        <v>Yes</v>
      </c>
      <c r="N69" s="11">
        <f t="shared" si="7"/>
        <v>46279</v>
      </c>
      <c r="O69" s="9">
        <f t="shared" si="8"/>
        <v>46286</v>
      </c>
      <c r="P69" s="28" t="str">
        <f>IF(D69="Open",KPI!$K$13-B69,"")</f>
        <v/>
      </c>
      <c r="Q69" s="24" t="str">
        <f t="shared" si="9"/>
        <v/>
      </c>
    </row>
    <row r="70" spans="1:17">
      <c r="A70" s="2" t="s">
        <v>119</v>
      </c>
      <c r="B70" s="4">
        <v>46279</v>
      </c>
      <c r="C70" s="4">
        <v>46280</v>
      </c>
      <c r="D70" s="2" t="s">
        <v>25</v>
      </c>
      <c r="E70" s="2" t="s">
        <v>26</v>
      </c>
      <c r="F70" s="2" t="s">
        <v>31</v>
      </c>
      <c r="G70" s="2" t="s">
        <v>39</v>
      </c>
      <c r="H70" s="2" t="s">
        <v>36</v>
      </c>
      <c r="I70" s="2"/>
      <c r="K70" s="6">
        <f>_xlfn.XLOOKUP(Cases_Tbl[[#This Row],[Priority]],SLA_Table!$A$2:$A$4,SLA_Table!$B$2:$B$4)</f>
        <v>5</v>
      </c>
      <c r="L70" s="6">
        <f t="shared" si="5"/>
        <v>1</v>
      </c>
      <c r="M70" s="6" t="str">
        <f t="shared" si="6"/>
        <v>Yes</v>
      </c>
      <c r="N70" s="11">
        <f t="shared" si="7"/>
        <v>46279</v>
      </c>
      <c r="O70" s="9">
        <f t="shared" si="8"/>
        <v>46279</v>
      </c>
      <c r="P70" s="28" t="str">
        <f>IF(D70="Open",KPI!$K$13-B70,"")</f>
        <v/>
      </c>
      <c r="Q70" s="24" t="str">
        <f t="shared" si="9"/>
        <v/>
      </c>
    </row>
    <row r="71" spans="1:17">
      <c r="A71" s="2" t="s">
        <v>120</v>
      </c>
      <c r="B71" s="4">
        <v>46279</v>
      </c>
      <c r="C71" s="4">
        <v>46286</v>
      </c>
      <c r="D71" s="2" t="s">
        <v>25</v>
      </c>
      <c r="E71" s="2" t="s">
        <v>35</v>
      </c>
      <c r="F71" s="2" t="s">
        <v>41</v>
      </c>
      <c r="G71" s="2" t="s">
        <v>28</v>
      </c>
      <c r="H71" s="2" t="s">
        <v>44</v>
      </c>
      <c r="I71" s="2"/>
      <c r="K71" s="6">
        <f>_xlfn.XLOOKUP(Cases_Tbl[[#This Row],[Priority]],SLA_Table!$A$2:$A$4,SLA_Table!$B$2:$B$4)</f>
        <v>10</v>
      </c>
      <c r="L71" s="6">
        <f t="shared" si="5"/>
        <v>7</v>
      </c>
      <c r="M71" s="6" t="str">
        <f t="shared" si="6"/>
        <v>Yes</v>
      </c>
      <c r="N71" s="11">
        <f t="shared" si="7"/>
        <v>46279</v>
      </c>
      <c r="O71" s="9">
        <f t="shared" si="8"/>
        <v>46286</v>
      </c>
      <c r="P71" s="28" t="str">
        <f>IF(D71="Open",KPI!$K$13-B71,"")</f>
        <v/>
      </c>
      <c r="Q71" s="24" t="str">
        <f t="shared" si="9"/>
        <v/>
      </c>
    </row>
    <row r="72" spans="1:17">
      <c r="A72" s="2" t="s">
        <v>121</v>
      </c>
      <c r="B72" s="4">
        <v>46279</v>
      </c>
      <c r="C72" s="4">
        <v>46288</v>
      </c>
      <c r="D72" s="2" t="s">
        <v>25</v>
      </c>
      <c r="E72" s="2" t="s">
        <v>35</v>
      </c>
      <c r="F72" s="2" t="s">
        <v>27</v>
      </c>
      <c r="G72" s="2" t="s">
        <v>32</v>
      </c>
      <c r="H72" s="2" t="s">
        <v>54</v>
      </c>
      <c r="I72" s="2"/>
      <c r="K72" s="6">
        <f>_xlfn.XLOOKUP(Cases_Tbl[[#This Row],[Priority]],SLA_Table!$A$2:$A$4,SLA_Table!$B$2:$B$4)</f>
        <v>10</v>
      </c>
      <c r="L72" s="6">
        <f t="shared" si="5"/>
        <v>9</v>
      </c>
      <c r="M72" s="6" t="str">
        <f t="shared" si="6"/>
        <v>Yes</v>
      </c>
      <c r="N72" s="11">
        <f t="shared" si="7"/>
        <v>46279</v>
      </c>
      <c r="O72" s="9">
        <f t="shared" si="8"/>
        <v>46286</v>
      </c>
      <c r="P72" s="28" t="str">
        <f>IF(D72="Open",KPI!$K$13-B72,"")</f>
        <v/>
      </c>
      <c r="Q72" s="24" t="str">
        <f t="shared" si="9"/>
        <v/>
      </c>
    </row>
    <row r="73" spans="1:17">
      <c r="A73" s="2" t="s">
        <v>122</v>
      </c>
      <c r="B73" s="4">
        <v>46279</v>
      </c>
      <c r="C73" s="4">
        <v>46285</v>
      </c>
      <c r="D73" s="2" t="s">
        <v>25</v>
      </c>
      <c r="E73" s="2" t="s">
        <v>43</v>
      </c>
      <c r="F73" s="2" t="s">
        <v>31</v>
      </c>
      <c r="G73" s="2" t="s">
        <v>28</v>
      </c>
      <c r="H73" s="2" t="s">
        <v>48</v>
      </c>
      <c r="I73" s="2" t="s">
        <v>55</v>
      </c>
      <c r="K73" s="6">
        <f>_xlfn.XLOOKUP(Cases_Tbl[[#This Row],[Priority]],SLA_Table!$A$2:$A$4,SLA_Table!$B$2:$B$4)</f>
        <v>2</v>
      </c>
      <c r="L73" s="6">
        <f t="shared" si="5"/>
        <v>6</v>
      </c>
      <c r="M73" s="6" t="str">
        <f t="shared" si="6"/>
        <v>No</v>
      </c>
      <c r="N73" s="11">
        <f t="shared" si="7"/>
        <v>46279</v>
      </c>
      <c r="O73" s="9">
        <f t="shared" si="8"/>
        <v>46279</v>
      </c>
      <c r="P73" s="28" t="str">
        <f>IF(D73="Open",KPI!$K$13-B73,"")</f>
        <v/>
      </c>
      <c r="Q73" s="24" t="str">
        <f t="shared" si="9"/>
        <v/>
      </c>
    </row>
    <row r="74" spans="1:17">
      <c r="A74" s="2" t="s">
        <v>123</v>
      </c>
      <c r="B74" s="4">
        <v>46280</v>
      </c>
      <c r="C74" s="4">
        <v>46289</v>
      </c>
      <c r="D74" s="2" t="s">
        <v>25</v>
      </c>
      <c r="E74" s="2" t="s">
        <v>35</v>
      </c>
      <c r="F74" s="2" t="s">
        <v>41</v>
      </c>
      <c r="G74" s="2" t="s">
        <v>28</v>
      </c>
      <c r="H74" s="2" t="s">
        <v>54</v>
      </c>
      <c r="I74" s="2"/>
      <c r="K74" s="6">
        <f>_xlfn.XLOOKUP(Cases_Tbl[[#This Row],[Priority]],SLA_Table!$A$2:$A$4,SLA_Table!$B$2:$B$4)</f>
        <v>10</v>
      </c>
      <c r="L74" s="6">
        <f t="shared" si="5"/>
        <v>9</v>
      </c>
      <c r="M74" s="6" t="str">
        <f t="shared" si="6"/>
        <v>Yes</v>
      </c>
      <c r="N74" s="11">
        <f t="shared" si="7"/>
        <v>46279</v>
      </c>
      <c r="O74" s="9">
        <f t="shared" si="8"/>
        <v>46286</v>
      </c>
      <c r="P74" s="28" t="str">
        <f>IF(D74="Open",KPI!$K$13-B74,"")</f>
        <v/>
      </c>
      <c r="Q74" s="24" t="str">
        <f t="shared" si="9"/>
        <v/>
      </c>
    </row>
    <row r="75" spans="1:17">
      <c r="A75" s="2" t="s">
        <v>124</v>
      </c>
      <c r="B75" s="4">
        <v>46280</v>
      </c>
      <c r="C75" s="4">
        <v>46294</v>
      </c>
      <c r="D75" s="2" t="s">
        <v>25</v>
      </c>
      <c r="E75" s="2" t="s">
        <v>35</v>
      </c>
      <c r="F75" s="2" t="s">
        <v>27</v>
      </c>
      <c r="G75" s="2" t="s">
        <v>28</v>
      </c>
      <c r="H75" s="2" t="s">
        <v>29</v>
      </c>
      <c r="I75" s="2" t="s">
        <v>52</v>
      </c>
      <c r="K75" s="6">
        <f>_xlfn.XLOOKUP(Cases_Tbl[[#This Row],[Priority]],SLA_Table!$A$2:$A$4,SLA_Table!$B$2:$B$4)</f>
        <v>10</v>
      </c>
      <c r="L75" s="6">
        <f t="shared" si="5"/>
        <v>14</v>
      </c>
      <c r="M75" s="6" t="str">
        <f t="shared" si="6"/>
        <v>No</v>
      </c>
      <c r="N75" s="11">
        <f t="shared" si="7"/>
        <v>46279</v>
      </c>
      <c r="O75" s="9">
        <f t="shared" si="8"/>
        <v>46293</v>
      </c>
      <c r="P75" s="28" t="str">
        <f>IF(D75="Open",KPI!$K$13-B75,"")</f>
        <v/>
      </c>
      <c r="Q75" s="24" t="str">
        <f t="shared" si="9"/>
        <v/>
      </c>
    </row>
    <row r="76" spans="1:17">
      <c r="A76" s="2" t="s">
        <v>125</v>
      </c>
      <c r="B76" s="4">
        <v>46280</v>
      </c>
      <c r="C76" s="4">
        <v>46283</v>
      </c>
      <c r="D76" s="2" t="s">
        <v>25</v>
      </c>
      <c r="E76" s="2" t="s">
        <v>26</v>
      </c>
      <c r="F76" s="2" t="s">
        <v>47</v>
      </c>
      <c r="G76" s="2" t="s">
        <v>32</v>
      </c>
      <c r="H76" s="6" t="s">
        <v>390</v>
      </c>
      <c r="I76" s="2"/>
      <c r="K76" s="6">
        <f>_xlfn.XLOOKUP(Cases_Tbl[[#This Row],[Priority]],SLA_Table!$A$2:$A$4,SLA_Table!$B$2:$B$4)</f>
        <v>5</v>
      </c>
      <c r="L76" s="6">
        <f t="shared" si="5"/>
        <v>3</v>
      </c>
      <c r="M76" s="6" t="str">
        <f t="shared" si="6"/>
        <v>Yes</v>
      </c>
      <c r="N76" s="11">
        <f t="shared" si="7"/>
        <v>46279</v>
      </c>
      <c r="O76" s="9">
        <f t="shared" si="8"/>
        <v>46279</v>
      </c>
      <c r="P76" s="28" t="str">
        <f>IF(D76="Open",KPI!$K$13-B76,"")</f>
        <v/>
      </c>
      <c r="Q76" s="24" t="str">
        <f t="shared" si="9"/>
        <v/>
      </c>
    </row>
    <row r="77" spans="1:17">
      <c r="A77" s="2" t="s">
        <v>127</v>
      </c>
      <c r="B77" s="4">
        <v>46280</v>
      </c>
      <c r="C77" s="4">
        <v>46290</v>
      </c>
      <c r="D77" s="2" t="s">
        <v>25</v>
      </c>
      <c r="E77" s="2" t="s">
        <v>35</v>
      </c>
      <c r="F77" s="2" t="s">
        <v>31</v>
      </c>
      <c r="G77" s="2" t="s">
        <v>39</v>
      </c>
      <c r="H77" s="2" t="s">
        <v>48</v>
      </c>
      <c r="I77" s="2"/>
      <c r="K77" s="6">
        <f>_xlfn.XLOOKUP(Cases_Tbl[[#This Row],[Priority]],SLA_Table!$A$2:$A$4,SLA_Table!$B$2:$B$4)</f>
        <v>10</v>
      </c>
      <c r="L77" s="6">
        <f t="shared" si="5"/>
        <v>10</v>
      </c>
      <c r="M77" s="6" t="str">
        <f t="shared" si="6"/>
        <v>Yes</v>
      </c>
      <c r="N77" s="11">
        <f t="shared" si="7"/>
        <v>46279</v>
      </c>
      <c r="O77" s="9">
        <f t="shared" si="8"/>
        <v>46286</v>
      </c>
      <c r="P77" s="28" t="str">
        <f>IF(D77="Open",KPI!$K$13-B77,"")</f>
        <v/>
      </c>
      <c r="Q77" s="24" t="str">
        <f t="shared" si="9"/>
        <v/>
      </c>
    </row>
    <row r="78" spans="1:17">
      <c r="A78" s="2" t="s">
        <v>128</v>
      </c>
      <c r="B78" s="4">
        <v>46280</v>
      </c>
      <c r="C78" s="4">
        <v>46290</v>
      </c>
      <c r="D78" s="2" t="s">
        <v>25</v>
      </c>
      <c r="E78" s="2" t="s">
        <v>35</v>
      </c>
      <c r="F78" s="2" t="s">
        <v>27</v>
      </c>
      <c r="G78" s="2" t="s">
        <v>28</v>
      </c>
      <c r="H78" s="2" t="s">
        <v>36</v>
      </c>
      <c r="I78" s="2"/>
      <c r="K78" s="6">
        <f>_xlfn.XLOOKUP(Cases_Tbl[[#This Row],[Priority]],SLA_Table!$A$2:$A$4,SLA_Table!$B$2:$B$4)</f>
        <v>10</v>
      </c>
      <c r="L78" s="6">
        <f t="shared" si="5"/>
        <v>10</v>
      </c>
      <c r="M78" s="6" t="str">
        <f t="shared" si="6"/>
        <v>Yes</v>
      </c>
      <c r="N78" s="11">
        <f t="shared" si="7"/>
        <v>46279</v>
      </c>
      <c r="O78" s="9">
        <f t="shared" si="8"/>
        <v>46286</v>
      </c>
      <c r="P78" s="28" t="str">
        <f>IF(D78="Open",KPI!$K$13-B78,"")</f>
        <v/>
      </c>
      <c r="Q78" s="24" t="str">
        <f t="shared" si="9"/>
        <v/>
      </c>
    </row>
    <row r="79" spans="1:17">
      <c r="A79" s="2" t="s">
        <v>129</v>
      </c>
      <c r="B79" s="4">
        <v>46281</v>
      </c>
      <c r="C79" s="4">
        <v>46290</v>
      </c>
      <c r="D79" s="2" t="s">
        <v>25</v>
      </c>
      <c r="E79" s="2" t="s">
        <v>35</v>
      </c>
      <c r="F79" s="2" t="s">
        <v>38</v>
      </c>
      <c r="G79" s="2" t="s">
        <v>32</v>
      </c>
      <c r="H79" s="2" t="s">
        <v>48</v>
      </c>
      <c r="I79" s="2"/>
      <c r="K79" s="6">
        <f>_xlfn.XLOOKUP(Cases_Tbl[[#This Row],[Priority]],SLA_Table!$A$2:$A$4,SLA_Table!$B$2:$B$4)</f>
        <v>10</v>
      </c>
      <c r="L79" s="6">
        <f t="shared" si="5"/>
        <v>9</v>
      </c>
      <c r="M79" s="6" t="str">
        <f t="shared" si="6"/>
        <v>Yes</v>
      </c>
      <c r="N79" s="11">
        <f t="shared" si="7"/>
        <v>46279</v>
      </c>
      <c r="O79" s="9">
        <f t="shared" si="8"/>
        <v>46286</v>
      </c>
      <c r="P79" s="28" t="str">
        <f>IF(D79="Open",KPI!$K$13-B79,"")</f>
        <v/>
      </c>
      <c r="Q79" s="24" t="str">
        <f t="shared" si="9"/>
        <v/>
      </c>
    </row>
    <row r="80" spans="1:17">
      <c r="A80" s="2" t="s">
        <v>130</v>
      </c>
      <c r="B80" s="4">
        <v>46281</v>
      </c>
      <c r="C80" s="4">
        <v>46288</v>
      </c>
      <c r="D80" s="2" t="s">
        <v>25</v>
      </c>
      <c r="E80" s="2" t="s">
        <v>35</v>
      </c>
      <c r="F80" s="2" t="s">
        <v>41</v>
      </c>
      <c r="G80" s="2" t="s">
        <v>39</v>
      </c>
      <c r="H80" s="2" t="s">
        <v>44</v>
      </c>
      <c r="I80" s="2"/>
      <c r="K80" s="6">
        <f>_xlfn.XLOOKUP(Cases_Tbl[[#This Row],[Priority]],SLA_Table!$A$2:$A$4,SLA_Table!$B$2:$B$4)</f>
        <v>10</v>
      </c>
      <c r="L80" s="6">
        <f t="shared" si="5"/>
        <v>7</v>
      </c>
      <c r="M80" s="6" t="str">
        <f t="shared" si="6"/>
        <v>Yes</v>
      </c>
      <c r="N80" s="11">
        <f t="shared" si="7"/>
        <v>46279</v>
      </c>
      <c r="O80" s="9">
        <f t="shared" si="8"/>
        <v>46286</v>
      </c>
      <c r="P80" s="28" t="str">
        <f>IF(D80="Open",KPI!$K$13-B80,"")</f>
        <v/>
      </c>
      <c r="Q80" s="24" t="str">
        <f t="shared" si="9"/>
        <v/>
      </c>
    </row>
    <row r="81" spans="1:17">
      <c r="A81" s="2" t="s">
        <v>131</v>
      </c>
      <c r="B81" s="4">
        <v>46282</v>
      </c>
      <c r="C81" s="4">
        <v>46284</v>
      </c>
      <c r="D81" s="2" t="s">
        <v>25</v>
      </c>
      <c r="E81" s="2" t="s">
        <v>43</v>
      </c>
      <c r="F81" s="2" t="s">
        <v>27</v>
      </c>
      <c r="G81" s="2" t="s">
        <v>39</v>
      </c>
      <c r="H81" s="2" t="s">
        <v>29</v>
      </c>
      <c r="I81" s="2"/>
      <c r="K81" s="6">
        <f>_xlfn.XLOOKUP(Cases_Tbl[[#This Row],[Priority]],SLA_Table!$A$2:$A$4,SLA_Table!$B$2:$B$4)</f>
        <v>2</v>
      </c>
      <c r="L81" s="6">
        <f t="shared" si="5"/>
        <v>2</v>
      </c>
      <c r="M81" s="6" t="str">
        <f t="shared" si="6"/>
        <v>Yes</v>
      </c>
      <c r="N81" s="11">
        <f t="shared" si="7"/>
        <v>46279</v>
      </c>
      <c r="O81" s="9">
        <f t="shared" si="8"/>
        <v>46279</v>
      </c>
      <c r="P81" s="28" t="str">
        <f>IF(D81="Open",KPI!$K$13-B81,"")</f>
        <v/>
      </c>
      <c r="Q81" s="24" t="str">
        <f t="shared" si="9"/>
        <v/>
      </c>
    </row>
    <row r="82" spans="1:17">
      <c r="A82" s="2" t="s">
        <v>132</v>
      </c>
      <c r="B82" s="4">
        <v>46282</v>
      </c>
      <c r="C82" s="4">
        <v>46292</v>
      </c>
      <c r="D82" s="2" t="s">
        <v>25</v>
      </c>
      <c r="E82" s="2" t="s">
        <v>35</v>
      </c>
      <c r="F82" s="2" t="s">
        <v>27</v>
      </c>
      <c r="G82" s="2" t="s">
        <v>39</v>
      </c>
      <c r="H82" s="2" t="s">
        <v>33</v>
      </c>
      <c r="I82" s="2"/>
      <c r="K82" s="6">
        <f>_xlfn.XLOOKUP(Cases_Tbl[[#This Row],[Priority]],SLA_Table!$A$2:$A$4,SLA_Table!$B$2:$B$4)</f>
        <v>10</v>
      </c>
      <c r="L82" s="6">
        <f t="shared" si="5"/>
        <v>10</v>
      </c>
      <c r="M82" s="6" t="str">
        <f t="shared" si="6"/>
        <v>Yes</v>
      </c>
      <c r="N82" s="11">
        <f t="shared" si="7"/>
        <v>46279</v>
      </c>
      <c r="O82" s="9">
        <f t="shared" si="8"/>
        <v>46286</v>
      </c>
      <c r="P82" s="28" t="str">
        <f>IF(D82="Open",KPI!$K$13-B82,"")</f>
        <v/>
      </c>
      <c r="Q82" s="24" t="str">
        <f t="shared" si="9"/>
        <v/>
      </c>
    </row>
    <row r="83" spans="1:17">
      <c r="A83" s="2" t="s">
        <v>133</v>
      </c>
      <c r="B83" s="4">
        <v>46282</v>
      </c>
      <c r="C83" s="4">
        <v>46290</v>
      </c>
      <c r="D83" s="2" t="s">
        <v>25</v>
      </c>
      <c r="E83" s="2" t="s">
        <v>35</v>
      </c>
      <c r="F83" s="2" t="s">
        <v>41</v>
      </c>
      <c r="G83" s="2" t="s">
        <v>39</v>
      </c>
      <c r="H83" s="2" t="s">
        <v>44</v>
      </c>
      <c r="I83" s="2"/>
      <c r="K83" s="6">
        <f>_xlfn.XLOOKUP(Cases_Tbl[[#This Row],[Priority]],SLA_Table!$A$2:$A$4,SLA_Table!$B$2:$B$4)</f>
        <v>10</v>
      </c>
      <c r="L83" s="6">
        <f t="shared" si="5"/>
        <v>8</v>
      </c>
      <c r="M83" s="6" t="str">
        <f t="shared" si="6"/>
        <v>Yes</v>
      </c>
      <c r="N83" s="11">
        <f t="shared" si="7"/>
        <v>46279</v>
      </c>
      <c r="O83" s="9">
        <f t="shared" si="8"/>
        <v>46286</v>
      </c>
      <c r="P83" s="28" t="str">
        <f>IF(D83="Open",KPI!$K$13-B83,"")</f>
        <v/>
      </c>
      <c r="Q83" s="24" t="str">
        <f t="shared" si="9"/>
        <v/>
      </c>
    </row>
    <row r="84" spans="1:17">
      <c r="A84" s="2" t="s">
        <v>134</v>
      </c>
      <c r="B84" s="4">
        <v>46282</v>
      </c>
      <c r="C84" s="4">
        <v>46294</v>
      </c>
      <c r="D84" s="2" t="s">
        <v>25</v>
      </c>
      <c r="E84" s="2" t="s">
        <v>35</v>
      </c>
      <c r="F84" s="2" t="s">
        <v>47</v>
      </c>
      <c r="G84" s="2" t="s">
        <v>39</v>
      </c>
      <c r="H84" s="2" t="s">
        <v>48</v>
      </c>
      <c r="I84" s="2" t="s">
        <v>52</v>
      </c>
      <c r="K84" s="6">
        <f>_xlfn.XLOOKUP(Cases_Tbl[[#This Row],[Priority]],SLA_Table!$A$2:$A$4,SLA_Table!$B$2:$B$4)</f>
        <v>10</v>
      </c>
      <c r="L84" s="6">
        <f t="shared" si="5"/>
        <v>12</v>
      </c>
      <c r="M84" s="6" t="str">
        <f t="shared" si="6"/>
        <v>No</v>
      </c>
      <c r="N84" s="11">
        <f t="shared" si="7"/>
        <v>46279</v>
      </c>
      <c r="O84" s="9">
        <f t="shared" si="8"/>
        <v>46293</v>
      </c>
      <c r="P84" s="28" t="str">
        <f>IF(D84="Open",KPI!$K$13-B84,"")</f>
        <v/>
      </c>
      <c r="Q84" s="24" t="str">
        <f t="shared" si="9"/>
        <v/>
      </c>
    </row>
    <row r="85" spans="1:17">
      <c r="A85" s="2" t="s">
        <v>135</v>
      </c>
      <c r="B85" s="4">
        <v>46282</v>
      </c>
      <c r="C85" s="4">
        <v>46286</v>
      </c>
      <c r="D85" s="2" t="s">
        <v>25</v>
      </c>
      <c r="E85" s="2" t="s">
        <v>26</v>
      </c>
      <c r="F85" s="2" t="s">
        <v>41</v>
      </c>
      <c r="G85" s="2" t="s">
        <v>32</v>
      </c>
      <c r="H85" s="2" t="s">
        <v>54</v>
      </c>
      <c r="I85" s="2"/>
      <c r="K85" s="6">
        <f>_xlfn.XLOOKUP(Cases_Tbl[[#This Row],[Priority]],SLA_Table!$A$2:$A$4,SLA_Table!$B$2:$B$4)</f>
        <v>5</v>
      </c>
      <c r="L85" s="6">
        <f t="shared" si="5"/>
        <v>4</v>
      </c>
      <c r="M85" s="6" t="str">
        <f t="shared" si="6"/>
        <v>Yes</v>
      </c>
      <c r="N85" s="11">
        <f t="shared" si="7"/>
        <v>46279</v>
      </c>
      <c r="O85" s="9">
        <f t="shared" si="8"/>
        <v>46286</v>
      </c>
      <c r="P85" s="28" t="str">
        <f>IF(D85="Open",KPI!$K$13-B85,"")</f>
        <v/>
      </c>
      <c r="Q85" s="24" t="str">
        <f t="shared" si="9"/>
        <v/>
      </c>
    </row>
    <row r="86" spans="1:17">
      <c r="A86" s="2" t="s">
        <v>136</v>
      </c>
      <c r="B86" s="4">
        <v>46282</v>
      </c>
      <c r="C86" s="4">
        <v>46282</v>
      </c>
      <c r="D86" s="2" t="s">
        <v>25</v>
      </c>
      <c r="E86" s="2" t="s">
        <v>43</v>
      </c>
      <c r="F86" s="2" t="s">
        <v>47</v>
      </c>
      <c r="G86" s="2" t="s">
        <v>39</v>
      </c>
      <c r="H86" s="2" t="s">
        <v>44</v>
      </c>
      <c r="I86" s="2"/>
      <c r="K86" s="6">
        <f>_xlfn.XLOOKUP(Cases_Tbl[[#This Row],[Priority]],SLA_Table!$A$2:$A$4,SLA_Table!$B$2:$B$4)</f>
        <v>2</v>
      </c>
      <c r="L86" s="6">
        <f t="shared" si="5"/>
        <v>0</v>
      </c>
      <c r="M86" s="6" t="str">
        <f t="shared" si="6"/>
        <v>Yes</v>
      </c>
      <c r="N86" s="11">
        <f t="shared" si="7"/>
        <v>46279</v>
      </c>
      <c r="O86" s="9">
        <f t="shared" si="8"/>
        <v>46279</v>
      </c>
      <c r="P86" s="28" t="str">
        <f>IF(D86="Open",KPI!$K$13-B86,"")</f>
        <v/>
      </c>
      <c r="Q86" s="24" t="str">
        <f t="shared" si="9"/>
        <v/>
      </c>
    </row>
    <row r="87" spans="1:17">
      <c r="A87" s="2" t="s">
        <v>137</v>
      </c>
      <c r="B87" s="4">
        <v>46283</v>
      </c>
      <c r="C87" s="4">
        <v>46293</v>
      </c>
      <c r="D87" s="2" t="s">
        <v>25</v>
      </c>
      <c r="E87" s="2" t="s">
        <v>35</v>
      </c>
      <c r="F87" s="2" t="s">
        <v>41</v>
      </c>
      <c r="G87" s="2" t="s">
        <v>32</v>
      </c>
      <c r="H87" s="2" t="s">
        <v>33</v>
      </c>
      <c r="I87" s="2"/>
      <c r="K87" s="6">
        <f>_xlfn.XLOOKUP(Cases_Tbl[[#This Row],[Priority]],SLA_Table!$A$2:$A$4,SLA_Table!$B$2:$B$4)</f>
        <v>10</v>
      </c>
      <c r="L87" s="6">
        <f t="shared" si="5"/>
        <v>10</v>
      </c>
      <c r="M87" s="6" t="str">
        <f t="shared" si="6"/>
        <v>Yes</v>
      </c>
      <c r="N87" s="11">
        <f t="shared" si="7"/>
        <v>46279</v>
      </c>
      <c r="O87" s="9">
        <f t="shared" si="8"/>
        <v>46293</v>
      </c>
      <c r="P87" s="28" t="str">
        <f>IF(D87="Open",KPI!$K$13-B87,"")</f>
        <v/>
      </c>
      <c r="Q87" s="24" t="str">
        <f t="shared" si="9"/>
        <v/>
      </c>
    </row>
    <row r="88" spans="1:17">
      <c r="A88" s="2" t="s">
        <v>138</v>
      </c>
      <c r="B88" s="4">
        <v>46283</v>
      </c>
      <c r="C88" s="4">
        <v>46288</v>
      </c>
      <c r="D88" s="2" t="s">
        <v>25</v>
      </c>
      <c r="E88" s="2" t="s">
        <v>26</v>
      </c>
      <c r="F88" s="2" t="s">
        <v>41</v>
      </c>
      <c r="G88" s="2" t="s">
        <v>39</v>
      </c>
      <c r="H88" s="2" t="s">
        <v>54</v>
      </c>
      <c r="I88" s="2"/>
      <c r="K88" s="6">
        <f>_xlfn.XLOOKUP(Cases_Tbl[[#This Row],[Priority]],SLA_Table!$A$2:$A$4,SLA_Table!$B$2:$B$4)</f>
        <v>5</v>
      </c>
      <c r="L88" s="6">
        <f t="shared" si="5"/>
        <v>5</v>
      </c>
      <c r="M88" s="6" t="str">
        <f t="shared" si="6"/>
        <v>Yes</v>
      </c>
      <c r="N88" s="11">
        <f t="shared" si="7"/>
        <v>46279</v>
      </c>
      <c r="O88" s="9">
        <f t="shared" si="8"/>
        <v>46286</v>
      </c>
      <c r="P88" s="28" t="str">
        <f>IF(D88="Open",KPI!$K$13-B88,"")</f>
        <v/>
      </c>
      <c r="Q88" s="24" t="str">
        <f t="shared" si="9"/>
        <v/>
      </c>
    </row>
    <row r="89" spans="1:17">
      <c r="A89" s="2" t="s">
        <v>139</v>
      </c>
      <c r="B89" s="4">
        <v>46283</v>
      </c>
      <c r="C89" s="4">
        <v>46289</v>
      </c>
      <c r="D89" s="2" t="s">
        <v>25</v>
      </c>
      <c r="E89" s="2" t="s">
        <v>26</v>
      </c>
      <c r="F89" s="2" t="s">
        <v>47</v>
      </c>
      <c r="G89" s="2" t="s">
        <v>39</v>
      </c>
      <c r="H89" s="2" t="s">
        <v>44</v>
      </c>
      <c r="I89" s="2" t="s">
        <v>55</v>
      </c>
      <c r="K89" s="6">
        <f>_xlfn.XLOOKUP(Cases_Tbl[[#This Row],[Priority]],SLA_Table!$A$2:$A$4,SLA_Table!$B$2:$B$4)</f>
        <v>5</v>
      </c>
      <c r="L89" s="6">
        <f t="shared" si="5"/>
        <v>6</v>
      </c>
      <c r="M89" s="6" t="str">
        <f t="shared" si="6"/>
        <v>No</v>
      </c>
      <c r="N89" s="11">
        <f t="shared" si="7"/>
        <v>46279</v>
      </c>
      <c r="O89" s="9">
        <f t="shared" si="8"/>
        <v>46286</v>
      </c>
      <c r="P89" s="28" t="str">
        <f>IF(D89="Open",KPI!$K$13-B89,"")</f>
        <v/>
      </c>
      <c r="Q89" s="24" t="str">
        <f t="shared" si="9"/>
        <v/>
      </c>
    </row>
    <row r="90" spans="1:17">
      <c r="A90" s="2" t="s">
        <v>140</v>
      </c>
      <c r="B90" s="4">
        <v>46283</v>
      </c>
      <c r="C90" s="4">
        <v>46289</v>
      </c>
      <c r="D90" s="2" t="s">
        <v>25</v>
      </c>
      <c r="E90" s="2" t="s">
        <v>35</v>
      </c>
      <c r="F90" s="2" t="s">
        <v>47</v>
      </c>
      <c r="G90" s="2" t="s">
        <v>39</v>
      </c>
      <c r="H90" s="2" t="s">
        <v>44</v>
      </c>
      <c r="I90" s="2"/>
      <c r="K90" s="6">
        <f>_xlfn.XLOOKUP(Cases_Tbl[[#This Row],[Priority]],SLA_Table!$A$2:$A$4,SLA_Table!$B$2:$B$4)</f>
        <v>10</v>
      </c>
      <c r="L90" s="6">
        <f t="shared" si="5"/>
        <v>6</v>
      </c>
      <c r="M90" s="6" t="str">
        <f t="shared" si="6"/>
        <v>Yes</v>
      </c>
      <c r="N90" s="11">
        <f t="shared" si="7"/>
        <v>46279</v>
      </c>
      <c r="O90" s="9">
        <f t="shared" si="8"/>
        <v>46286</v>
      </c>
      <c r="P90" s="28" t="str">
        <f>IF(D90="Open",KPI!$K$13-B90,"")</f>
        <v/>
      </c>
      <c r="Q90" s="24" t="str">
        <f t="shared" si="9"/>
        <v/>
      </c>
    </row>
    <row r="91" spans="1:17">
      <c r="A91" s="2" t="s">
        <v>141</v>
      </c>
      <c r="B91" s="4">
        <v>46283</v>
      </c>
      <c r="C91" s="4">
        <v>46291</v>
      </c>
      <c r="D91" s="2" t="s">
        <v>25</v>
      </c>
      <c r="E91" s="2" t="s">
        <v>35</v>
      </c>
      <c r="F91" s="2" t="s">
        <v>41</v>
      </c>
      <c r="G91" s="2" t="s">
        <v>32</v>
      </c>
      <c r="H91" s="2" t="s">
        <v>29</v>
      </c>
      <c r="I91" s="2"/>
      <c r="K91" s="6">
        <f>_xlfn.XLOOKUP(Cases_Tbl[[#This Row],[Priority]],SLA_Table!$A$2:$A$4,SLA_Table!$B$2:$B$4)</f>
        <v>10</v>
      </c>
      <c r="L91" s="6">
        <f t="shared" si="5"/>
        <v>8</v>
      </c>
      <c r="M91" s="6" t="str">
        <f t="shared" si="6"/>
        <v>Yes</v>
      </c>
      <c r="N91" s="11">
        <f t="shared" si="7"/>
        <v>46279</v>
      </c>
      <c r="O91" s="9">
        <f t="shared" si="8"/>
        <v>46286</v>
      </c>
      <c r="P91" s="28" t="str">
        <f>IF(D91="Open",KPI!$K$13-B91,"")</f>
        <v/>
      </c>
      <c r="Q91" s="24" t="str">
        <f t="shared" si="9"/>
        <v/>
      </c>
    </row>
    <row r="92" spans="1:17">
      <c r="A92" s="2" t="s">
        <v>142</v>
      </c>
      <c r="B92" s="4">
        <v>46283</v>
      </c>
      <c r="C92" s="4">
        <v>46286</v>
      </c>
      <c r="D92" s="2" t="s">
        <v>25</v>
      </c>
      <c r="E92" s="2" t="s">
        <v>26</v>
      </c>
      <c r="F92" s="2" t="s">
        <v>38</v>
      </c>
      <c r="G92" s="2" t="s">
        <v>39</v>
      </c>
      <c r="H92" s="2" t="s">
        <v>48</v>
      </c>
      <c r="I92" s="2"/>
      <c r="K92" s="6">
        <f>_xlfn.XLOOKUP(Cases_Tbl[[#This Row],[Priority]],SLA_Table!$A$2:$A$4,SLA_Table!$B$2:$B$4)</f>
        <v>5</v>
      </c>
      <c r="L92" s="6">
        <f t="shared" si="5"/>
        <v>3</v>
      </c>
      <c r="M92" s="6" t="str">
        <f t="shared" si="6"/>
        <v>Yes</v>
      </c>
      <c r="N92" s="11">
        <f t="shared" si="7"/>
        <v>46279</v>
      </c>
      <c r="O92" s="9">
        <f t="shared" si="8"/>
        <v>46286</v>
      </c>
      <c r="P92" s="28" t="str">
        <f>IF(D92="Open",KPI!$K$13-B92,"")</f>
        <v/>
      </c>
      <c r="Q92" s="24" t="str">
        <f t="shared" si="9"/>
        <v/>
      </c>
    </row>
    <row r="93" spans="1:17">
      <c r="A93" s="2" t="s">
        <v>143</v>
      </c>
      <c r="B93" s="4">
        <v>46283</v>
      </c>
      <c r="C93" s="4">
        <v>46292</v>
      </c>
      <c r="D93" s="2" t="s">
        <v>25</v>
      </c>
      <c r="E93" s="2" t="s">
        <v>35</v>
      </c>
      <c r="F93" s="2" t="s">
        <v>47</v>
      </c>
      <c r="G93" s="2" t="s">
        <v>39</v>
      </c>
      <c r="H93" s="2" t="s">
        <v>54</v>
      </c>
      <c r="I93" s="2"/>
      <c r="K93" s="6">
        <f>_xlfn.XLOOKUP(Cases_Tbl[[#This Row],[Priority]],SLA_Table!$A$2:$A$4,SLA_Table!$B$2:$B$4)</f>
        <v>10</v>
      </c>
      <c r="L93" s="6">
        <f t="shared" si="5"/>
        <v>9</v>
      </c>
      <c r="M93" s="6" t="str">
        <f t="shared" si="6"/>
        <v>Yes</v>
      </c>
      <c r="N93" s="11">
        <f t="shared" si="7"/>
        <v>46279</v>
      </c>
      <c r="O93" s="9">
        <f t="shared" si="8"/>
        <v>46286</v>
      </c>
      <c r="P93" s="28" t="str">
        <f>IF(D93="Open",KPI!$K$13-B93,"")</f>
        <v/>
      </c>
      <c r="Q93" s="24" t="str">
        <f t="shared" si="9"/>
        <v/>
      </c>
    </row>
    <row r="94" spans="1:17">
      <c r="A94" s="2" t="s">
        <v>144</v>
      </c>
      <c r="B94" s="4">
        <v>46283</v>
      </c>
      <c r="C94" s="4">
        <v>46286</v>
      </c>
      <c r="D94" s="2" t="s">
        <v>25</v>
      </c>
      <c r="E94" s="2" t="s">
        <v>26</v>
      </c>
      <c r="F94" s="2" t="s">
        <v>38</v>
      </c>
      <c r="G94" s="2" t="s">
        <v>28</v>
      </c>
      <c r="H94" s="2" t="s">
        <v>36</v>
      </c>
      <c r="I94" s="2"/>
      <c r="K94" s="6">
        <f>_xlfn.XLOOKUP(Cases_Tbl[[#This Row],[Priority]],SLA_Table!$A$2:$A$4,SLA_Table!$B$2:$B$4)</f>
        <v>5</v>
      </c>
      <c r="L94" s="6">
        <f t="shared" si="5"/>
        <v>3</v>
      </c>
      <c r="M94" s="6" t="str">
        <f t="shared" si="6"/>
        <v>Yes</v>
      </c>
      <c r="N94" s="11">
        <f t="shared" si="7"/>
        <v>46279</v>
      </c>
      <c r="O94" s="9">
        <f t="shared" si="8"/>
        <v>46286</v>
      </c>
      <c r="P94" s="28" t="str">
        <f>IF(D94="Open",KPI!$K$13-B94,"")</f>
        <v/>
      </c>
      <c r="Q94" s="24" t="str">
        <f t="shared" si="9"/>
        <v/>
      </c>
    </row>
    <row r="95" spans="1:17">
      <c r="A95" s="2" t="s">
        <v>145</v>
      </c>
      <c r="B95" s="4">
        <v>46284</v>
      </c>
      <c r="C95" s="4">
        <v>46285</v>
      </c>
      <c r="D95" s="2" t="s">
        <v>25</v>
      </c>
      <c r="E95" s="2" t="s">
        <v>26</v>
      </c>
      <c r="F95" s="2" t="s">
        <v>27</v>
      </c>
      <c r="G95" s="2" t="s">
        <v>39</v>
      </c>
      <c r="H95" s="2" t="s">
        <v>29</v>
      </c>
      <c r="I95" s="2"/>
      <c r="K95" s="6">
        <f>_xlfn.XLOOKUP(Cases_Tbl[[#This Row],[Priority]],SLA_Table!$A$2:$A$4,SLA_Table!$B$2:$B$4)</f>
        <v>5</v>
      </c>
      <c r="L95" s="6">
        <f t="shared" si="5"/>
        <v>1</v>
      </c>
      <c r="M95" s="6" t="str">
        <f t="shared" si="6"/>
        <v>Yes</v>
      </c>
      <c r="N95" s="11">
        <f t="shared" si="7"/>
        <v>46279</v>
      </c>
      <c r="O95" s="9">
        <f t="shared" si="8"/>
        <v>46279</v>
      </c>
      <c r="P95" s="28" t="str">
        <f>IF(D95="Open",KPI!$K$13-B95,"")</f>
        <v/>
      </c>
      <c r="Q95" s="24" t="str">
        <f t="shared" si="9"/>
        <v/>
      </c>
    </row>
    <row r="96" spans="1:17">
      <c r="A96" s="2" t="s">
        <v>146</v>
      </c>
      <c r="B96" s="4">
        <v>46284</v>
      </c>
      <c r="C96" s="4">
        <v>46291</v>
      </c>
      <c r="D96" s="2" t="s">
        <v>25</v>
      </c>
      <c r="E96" s="2" t="s">
        <v>35</v>
      </c>
      <c r="F96" s="2" t="s">
        <v>27</v>
      </c>
      <c r="G96" s="2" t="s">
        <v>39</v>
      </c>
      <c r="H96" s="2" t="s">
        <v>36</v>
      </c>
      <c r="I96" s="2"/>
      <c r="K96" s="6">
        <f>_xlfn.XLOOKUP(Cases_Tbl[[#This Row],[Priority]],SLA_Table!$A$2:$A$4,SLA_Table!$B$2:$B$4)</f>
        <v>10</v>
      </c>
      <c r="L96" s="6">
        <f t="shared" si="5"/>
        <v>7</v>
      </c>
      <c r="M96" s="6" t="str">
        <f t="shared" si="6"/>
        <v>Yes</v>
      </c>
      <c r="N96" s="11">
        <f t="shared" si="7"/>
        <v>46279</v>
      </c>
      <c r="O96" s="9">
        <f t="shared" si="8"/>
        <v>46286</v>
      </c>
      <c r="P96" s="28" t="str">
        <f>IF(D96="Open",KPI!$K$13-B96,"")</f>
        <v/>
      </c>
      <c r="Q96" s="24" t="str">
        <f t="shared" si="9"/>
        <v/>
      </c>
    </row>
    <row r="97" spans="1:17">
      <c r="A97" s="2" t="s">
        <v>147</v>
      </c>
      <c r="B97" s="4">
        <v>46284</v>
      </c>
      <c r="C97" s="4">
        <v>46286</v>
      </c>
      <c r="D97" s="2" t="s">
        <v>25</v>
      </c>
      <c r="E97" s="2" t="s">
        <v>26</v>
      </c>
      <c r="F97" s="2" t="s">
        <v>38</v>
      </c>
      <c r="G97" s="2" t="s">
        <v>39</v>
      </c>
      <c r="H97" s="2" t="s">
        <v>48</v>
      </c>
      <c r="I97" s="2"/>
      <c r="K97" s="6">
        <f>_xlfn.XLOOKUP(Cases_Tbl[[#This Row],[Priority]],SLA_Table!$A$2:$A$4,SLA_Table!$B$2:$B$4)</f>
        <v>5</v>
      </c>
      <c r="L97" s="6">
        <f t="shared" si="5"/>
        <v>2</v>
      </c>
      <c r="M97" s="6" t="str">
        <f t="shared" si="6"/>
        <v>Yes</v>
      </c>
      <c r="N97" s="11">
        <f t="shared" si="7"/>
        <v>46279</v>
      </c>
      <c r="O97" s="9">
        <f t="shared" si="8"/>
        <v>46286</v>
      </c>
      <c r="P97" s="28" t="str">
        <f>IF(D97="Open",KPI!$K$13-B97,"")</f>
        <v/>
      </c>
      <c r="Q97" s="24" t="str">
        <f t="shared" si="9"/>
        <v/>
      </c>
    </row>
    <row r="98" spans="1:17">
      <c r="A98" s="2" t="s">
        <v>148</v>
      </c>
      <c r="B98" s="4">
        <v>46284</v>
      </c>
      <c r="C98" s="4">
        <v>46284</v>
      </c>
      <c r="D98" s="2" t="s">
        <v>25</v>
      </c>
      <c r="E98" s="2" t="s">
        <v>43</v>
      </c>
      <c r="F98" s="2" t="s">
        <v>41</v>
      </c>
      <c r="G98" s="2" t="s">
        <v>28</v>
      </c>
      <c r="H98" s="2" t="s">
        <v>36</v>
      </c>
      <c r="I98" s="2"/>
      <c r="K98" s="6">
        <f>_xlfn.XLOOKUP(Cases_Tbl[[#This Row],[Priority]],SLA_Table!$A$2:$A$4,SLA_Table!$B$2:$B$4)</f>
        <v>2</v>
      </c>
      <c r="L98" s="6">
        <f t="shared" si="5"/>
        <v>0</v>
      </c>
      <c r="M98" s="6" t="str">
        <f t="shared" si="6"/>
        <v>Yes</v>
      </c>
      <c r="N98" s="11">
        <f t="shared" si="7"/>
        <v>46279</v>
      </c>
      <c r="O98" s="9">
        <f t="shared" si="8"/>
        <v>46279</v>
      </c>
      <c r="P98" s="28" t="str">
        <f>IF(D98="Open",KPI!$K$13-B98,"")</f>
        <v/>
      </c>
      <c r="Q98" s="24" t="str">
        <f t="shared" si="9"/>
        <v/>
      </c>
    </row>
    <row r="99" spans="1:17">
      <c r="A99" s="2" t="s">
        <v>149</v>
      </c>
      <c r="B99" s="4">
        <v>46284</v>
      </c>
      <c r="C99" s="4">
        <v>46295</v>
      </c>
      <c r="D99" s="2" t="s">
        <v>25</v>
      </c>
      <c r="E99" s="2" t="s">
        <v>35</v>
      </c>
      <c r="F99" s="2" t="s">
        <v>41</v>
      </c>
      <c r="G99" s="2" t="s">
        <v>32</v>
      </c>
      <c r="H99" s="2" t="s">
        <v>33</v>
      </c>
      <c r="I99" s="2" t="s">
        <v>60</v>
      </c>
      <c r="K99" s="6">
        <f>_xlfn.XLOOKUP(Cases_Tbl[[#This Row],[Priority]],SLA_Table!$A$2:$A$4,SLA_Table!$B$2:$B$4)</f>
        <v>10</v>
      </c>
      <c r="L99" s="6">
        <f t="shared" si="5"/>
        <v>11</v>
      </c>
      <c r="M99" s="6" t="str">
        <f t="shared" si="6"/>
        <v>No</v>
      </c>
      <c r="N99" s="11">
        <f t="shared" si="7"/>
        <v>46279</v>
      </c>
      <c r="O99" s="9">
        <f t="shared" si="8"/>
        <v>46293</v>
      </c>
      <c r="P99" s="28" t="str">
        <f>IF(D99="Open",KPI!$K$13-B99,"")</f>
        <v/>
      </c>
      <c r="Q99" s="24" t="str">
        <f t="shared" si="9"/>
        <v/>
      </c>
    </row>
    <row r="100" spans="1:17">
      <c r="A100" s="2" t="s">
        <v>150</v>
      </c>
      <c r="B100" s="8">
        <v>46284</v>
      </c>
      <c r="C100" s="4">
        <v>46295</v>
      </c>
      <c r="D100" s="2" t="s">
        <v>25</v>
      </c>
      <c r="E100" s="2" t="s">
        <v>26</v>
      </c>
      <c r="F100" s="2" t="s">
        <v>41</v>
      </c>
      <c r="G100" s="2" t="s">
        <v>32</v>
      </c>
      <c r="H100" s="2" t="s">
        <v>36</v>
      </c>
      <c r="I100" s="2" t="s">
        <v>60</v>
      </c>
      <c r="K100" s="6">
        <f>_xlfn.XLOOKUP(Cases_Tbl[[#This Row],[Priority]],SLA_Table!$A$2:$A$4,SLA_Table!$B$2:$B$4)</f>
        <v>5</v>
      </c>
      <c r="L100" s="6">
        <f t="shared" si="5"/>
        <v>11</v>
      </c>
      <c r="M100" s="6" t="str">
        <f t="shared" si="6"/>
        <v>No</v>
      </c>
      <c r="N100" s="11">
        <f t="shared" si="7"/>
        <v>46279</v>
      </c>
      <c r="O100" s="9">
        <f t="shared" si="8"/>
        <v>46293</v>
      </c>
      <c r="P100" s="28" t="str">
        <f>IF(D100="Open",KPI!$K$13-B100,"")</f>
        <v/>
      </c>
      <c r="Q100" s="24" t="str">
        <f t="shared" si="9"/>
        <v/>
      </c>
    </row>
    <row r="101" spans="1:17">
      <c r="A101" s="2" t="s">
        <v>152</v>
      </c>
      <c r="B101" s="4">
        <v>46284</v>
      </c>
      <c r="C101" s="4">
        <v>46291</v>
      </c>
      <c r="D101" s="2" t="s">
        <v>25</v>
      </c>
      <c r="E101" s="2" t="s">
        <v>35</v>
      </c>
      <c r="F101" s="2" t="s">
        <v>41</v>
      </c>
      <c r="G101" s="2" t="s">
        <v>39</v>
      </c>
      <c r="H101" s="2" t="s">
        <v>48</v>
      </c>
      <c r="I101" s="2"/>
      <c r="K101" s="6">
        <f>_xlfn.XLOOKUP(Cases_Tbl[[#This Row],[Priority]],SLA_Table!$A$2:$A$4,SLA_Table!$B$2:$B$4)</f>
        <v>10</v>
      </c>
      <c r="L101" s="6">
        <f t="shared" si="5"/>
        <v>7</v>
      </c>
      <c r="M101" s="6" t="str">
        <f t="shared" si="6"/>
        <v>Yes</v>
      </c>
      <c r="N101" s="11">
        <f t="shared" si="7"/>
        <v>46279</v>
      </c>
      <c r="O101" s="9">
        <f t="shared" si="8"/>
        <v>46286</v>
      </c>
      <c r="P101" s="28" t="str">
        <f>IF(D101="Open",KPI!$K$13-B101,"")</f>
        <v/>
      </c>
      <c r="Q101" s="24" t="str">
        <f t="shared" si="9"/>
        <v/>
      </c>
    </row>
    <row r="102" spans="1:17">
      <c r="A102" s="2" t="s">
        <v>153</v>
      </c>
      <c r="B102" s="4">
        <v>46285</v>
      </c>
      <c r="C102" s="4">
        <v>46291</v>
      </c>
      <c r="D102" s="2" t="s">
        <v>25</v>
      </c>
      <c r="E102" s="2" t="s">
        <v>35</v>
      </c>
      <c r="F102" s="2" t="s">
        <v>38</v>
      </c>
      <c r="G102" s="2" t="s">
        <v>39</v>
      </c>
      <c r="H102" s="2" t="s">
        <v>54</v>
      </c>
      <c r="I102" s="2"/>
      <c r="K102" s="6">
        <f>_xlfn.XLOOKUP(Cases_Tbl[[#This Row],[Priority]],SLA_Table!$A$2:$A$4,SLA_Table!$B$2:$B$4)</f>
        <v>10</v>
      </c>
      <c r="L102" s="6">
        <f t="shared" si="5"/>
        <v>6</v>
      </c>
      <c r="M102" s="6" t="str">
        <f t="shared" si="6"/>
        <v>Yes</v>
      </c>
      <c r="N102" s="11">
        <f t="shared" si="7"/>
        <v>46279</v>
      </c>
      <c r="O102" s="9">
        <f t="shared" si="8"/>
        <v>46286</v>
      </c>
      <c r="P102" s="28" t="str">
        <f>IF(D102="Open",KPI!$K$13-B102,"")</f>
        <v/>
      </c>
      <c r="Q102" s="24" t="str">
        <f t="shared" si="9"/>
        <v/>
      </c>
    </row>
    <row r="103" spans="1:17">
      <c r="A103" s="2" t="s">
        <v>154</v>
      </c>
      <c r="B103" s="4">
        <v>46285</v>
      </c>
      <c r="C103" s="4">
        <v>46290</v>
      </c>
      <c r="D103" s="2" t="s">
        <v>25</v>
      </c>
      <c r="E103" s="2" t="s">
        <v>26</v>
      </c>
      <c r="F103" s="2" t="s">
        <v>31</v>
      </c>
      <c r="G103" s="2" t="s">
        <v>32</v>
      </c>
      <c r="H103" s="2" t="s">
        <v>33</v>
      </c>
      <c r="I103" s="2"/>
      <c r="K103" s="6">
        <f>_xlfn.XLOOKUP(Cases_Tbl[[#This Row],[Priority]],SLA_Table!$A$2:$A$4,SLA_Table!$B$2:$B$4)</f>
        <v>5</v>
      </c>
      <c r="L103" s="6">
        <f t="shared" si="5"/>
        <v>5</v>
      </c>
      <c r="M103" s="6" t="str">
        <f t="shared" si="6"/>
        <v>Yes</v>
      </c>
      <c r="N103" s="11">
        <f t="shared" si="7"/>
        <v>46279</v>
      </c>
      <c r="O103" s="9">
        <f t="shared" si="8"/>
        <v>46286</v>
      </c>
      <c r="P103" s="28" t="str">
        <f>IF(D103="Open",KPI!$K$13-B103,"")</f>
        <v/>
      </c>
      <c r="Q103" s="24" t="str">
        <f t="shared" si="9"/>
        <v/>
      </c>
    </row>
    <row r="104" spans="1:17">
      <c r="A104" s="2" t="s">
        <v>155</v>
      </c>
      <c r="B104" s="4">
        <v>46285</v>
      </c>
      <c r="C104" s="4">
        <v>46291</v>
      </c>
      <c r="D104" s="2" t="s">
        <v>25</v>
      </c>
      <c r="E104" s="2" t="s">
        <v>43</v>
      </c>
      <c r="F104" s="2" t="s">
        <v>31</v>
      </c>
      <c r="G104" s="2" t="s">
        <v>28</v>
      </c>
      <c r="H104" s="2" t="s">
        <v>44</v>
      </c>
      <c r="I104" s="2" t="s">
        <v>60</v>
      </c>
      <c r="K104" s="6">
        <f>_xlfn.XLOOKUP(Cases_Tbl[[#This Row],[Priority]],SLA_Table!$A$2:$A$4,SLA_Table!$B$2:$B$4)</f>
        <v>2</v>
      </c>
      <c r="L104" s="6">
        <f t="shared" si="5"/>
        <v>6</v>
      </c>
      <c r="M104" s="6" t="str">
        <f t="shared" si="6"/>
        <v>No</v>
      </c>
      <c r="N104" s="11">
        <f t="shared" si="7"/>
        <v>46279</v>
      </c>
      <c r="O104" s="9">
        <f t="shared" si="8"/>
        <v>46286</v>
      </c>
      <c r="P104" s="28" t="str">
        <f>IF(D104="Open",KPI!$K$13-B104,"")</f>
        <v/>
      </c>
      <c r="Q104" s="24" t="str">
        <f t="shared" si="9"/>
        <v/>
      </c>
    </row>
    <row r="105" spans="1:17">
      <c r="A105" s="2" t="s">
        <v>156</v>
      </c>
      <c r="B105" s="4">
        <v>46285</v>
      </c>
      <c r="C105" s="4">
        <v>46285</v>
      </c>
      <c r="D105" s="2" t="s">
        <v>25</v>
      </c>
      <c r="E105" s="2" t="s">
        <v>43</v>
      </c>
      <c r="F105" s="2" t="s">
        <v>47</v>
      </c>
      <c r="G105" s="2" t="s">
        <v>39</v>
      </c>
      <c r="H105" s="2" t="s">
        <v>48</v>
      </c>
      <c r="I105" s="2"/>
      <c r="K105" s="6">
        <f>_xlfn.XLOOKUP(Cases_Tbl[[#This Row],[Priority]],SLA_Table!$A$2:$A$4,SLA_Table!$B$2:$B$4)</f>
        <v>2</v>
      </c>
      <c r="L105" s="6">
        <f t="shared" si="5"/>
        <v>0</v>
      </c>
      <c r="M105" s="6" t="str">
        <f t="shared" si="6"/>
        <v>Yes</v>
      </c>
      <c r="N105" s="11">
        <f t="shared" si="7"/>
        <v>46279</v>
      </c>
      <c r="O105" s="9">
        <f t="shared" si="8"/>
        <v>46279</v>
      </c>
      <c r="P105" s="28" t="str">
        <f>IF(D105="Open",KPI!$K$13-B105,"")</f>
        <v/>
      </c>
      <c r="Q105" s="24" t="str">
        <f t="shared" si="9"/>
        <v/>
      </c>
    </row>
    <row r="106" spans="1:17">
      <c r="A106" s="2" t="s">
        <v>157</v>
      </c>
      <c r="B106" s="4">
        <v>46285</v>
      </c>
      <c r="C106" s="4">
        <v>46287</v>
      </c>
      <c r="D106" s="2" t="s">
        <v>25</v>
      </c>
      <c r="E106" s="2" t="s">
        <v>43</v>
      </c>
      <c r="F106" s="2" t="s">
        <v>27</v>
      </c>
      <c r="G106" s="2" t="s">
        <v>39</v>
      </c>
      <c r="H106" s="2" t="s">
        <v>44</v>
      </c>
      <c r="I106" s="2"/>
      <c r="K106" s="6">
        <f>_xlfn.XLOOKUP(Cases_Tbl[[#This Row],[Priority]],SLA_Table!$A$2:$A$4,SLA_Table!$B$2:$B$4)</f>
        <v>2</v>
      </c>
      <c r="L106" s="6">
        <f t="shared" si="5"/>
        <v>2</v>
      </c>
      <c r="M106" s="6" t="str">
        <f t="shared" si="6"/>
        <v>Yes</v>
      </c>
      <c r="N106" s="11">
        <f t="shared" si="7"/>
        <v>46279</v>
      </c>
      <c r="O106" s="9">
        <f t="shared" si="8"/>
        <v>46286</v>
      </c>
      <c r="P106" s="28" t="str">
        <f>IF(D106="Open",KPI!$K$13-B106,"")</f>
        <v/>
      </c>
      <c r="Q106" s="24" t="str">
        <f t="shared" si="9"/>
        <v/>
      </c>
    </row>
    <row r="107" spans="1:17">
      <c r="A107" s="2" t="s">
        <v>158</v>
      </c>
      <c r="B107" s="4">
        <v>46285</v>
      </c>
      <c r="C107" s="4">
        <v>46286</v>
      </c>
      <c r="D107" s="2" t="s">
        <v>25</v>
      </c>
      <c r="E107" s="2" t="s">
        <v>43</v>
      </c>
      <c r="F107" s="2" t="s">
        <v>31</v>
      </c>
      <c r="G107" s="2" t="s">
        <v>39</v>
      </c>
      <c r="H107" s="2" t="s">
        <v>48</v>
      </c>
      <c r="I107" s="2"/>
      <c r="K107" s="6">
        <f>_xlfn.XLOOKUP(Cases_Tbl[[#This Row],[Priority]],SLA_Table!$A$2:$A$4,SLA_Table!$B$2:$B$4)</f>
        <v>2</v>
      </c>
      <c r="L107" s="6">
        <f t="shared" si="5"/>
        <v>1</v>
      </c>
      <c r="M107" s="6" t="str">
        <f t="shared" si="6"/>
        <v>Yes</v>
      </c>
      <c r="N107" s="11">
        <f t="shared" si="7"/>
        <v>46279</v>
      </c>
      <c r="O107" s="9">
        <f t="shared" si="8"/>
        <v>46286</v>
      </c>
      <c r="P107" s="28" t="str">
        <f>IF(D107="Open",KPI!$K$13-B107,"")</f>
        <v/>
      </c>
      <c r="Q107" s="24" t="str">
        <f t="shared" si="9"/>
        <v/>
      </c>
    </row>
    <row r="108" spans="1:17">
      <c r="A108" s="2" t="s">
        <v>159</v>
      </c>
      <c r="B108" s="8">
        <v>46285</v>
      </c>
      <c r="C108" s="4">
        <v>46293</v>
      </c>
      <c r="D108" s="2" t="s">
        <v>25</v>
      </c>
      <c r="E108" s="2" t="s">
        <v>35</v>
      </c>
      <c r="F108" s="2" t="s">
        <v>47</v>
      </c>
      <c r="G108" s="2" t="s">
        <v>32</v>
      </c>
      <c r="H108" s="2" t="s">
        <v>48</v>
      </c>
      <c r="I108" s="2"/>
      <c r="K108" s="6">
        <f>_xlfn.XLOOKUP(Cases_Tbl[[#This Row],[Priority]],SLA_Table!$A$2:$A$4,SLA_Table!$B$2:$B$4)</f>
        <v>10</v>
      </c>
      <c r="L108" s="6">
        <f t="shared" si="5"/>
        <v>8</v>
      </c>
      <c r="M108" s="6" t="str">
        <f t="shared" si="6"/>
        <v>Yes</v>
      </c>
      <c r="N108" s="11">
        <f t="shared" si="7"/>
        <v>46279</v>
      </c>
      <c r="O108" s="9">
        <f t="shared" si="8"/>
        <v>46293</v>
      </c>
      <c r="P108" s="28" t="str">
        <f>IF(D108="Open",KPI!$K$13-B108,"")</f>
        <v/>
      </c>
      <c r="Q108" s="24" t="str">
        <f t="shared" si="9"/>
        <v/>
      </c>
    </row>
    <row r="109" spans="1:17">
      <c r="A109" s="2" t="s">
        <v>161</v>
      </c>
      <c r="B109" s="4">
        <v>46286</v>
      </c>
      <c r="C109" s="4">
        <v>46295</v>
      </c>
      <c r="D109" s="2" t="s">
        <v>25</v>
      </c>
      <c r="E109" s="2" t="s">
        <v>26</v>
      </c>
      <c r="F109" s="2" t="s">
        <v>47</v>
      </c>
      <c r="G109" s="2" t="s">
        <v>28</v>
      </c>
      <c r="H109" s="2" t="s">
        <v>33</v>
      </c>
      <c r="I109" s="2" t="s">
        <v>55</v>
      </c>
      <c r="K109" s="6">
        <f>_xlfn.XLOOKUP(Cases_Tbl[[#This Row],[Priority]],SLA_Table!$A$2:$A$4,SLA_Table!$B$2:$B$4)</f>
        <v>5</v>
      </c>
      <c r="L109" s="6">
        <f t="shared" si="5"/>
        <v>9</v>
      </c>
      <c r="M109" s="6" t="str">
        <f t="shared" si="6"/>
        <v>No</v>
      </c>
      <c r="N109" s="11">
        <f t="shared" si="7"/>
        <v>46286</v>
      </c>
      <c r="O109" s="9">
        <f t="shared" si="8"/>
        <v>46293</v>
      </c>
      <c r="P109" s="28" t="str">
        <f>IF(D109="Open",KPI!$K$13-B109,"")</f>
        <v/>
      </c>
      <c r="Q109" s="24" t="str">
        <f t="shared" si="9"/>
        <v/>
      </c>
    </row>
    <row r="110" spans="1:17">
      <c r="A110" s="2" t="s">
        <v>162</v>
      </c>
      <c r="B110" s="4">
        <v>46286</v>
      </c>
      <c r="C110" s="4">
        <v>46295</v>
      </c>
      <c r="D110" s="2" t="s">
        <v>25</v>
      </c>
      <c r="E110" s="2" t="s">
        <v>35</v>
      </c>
      <c r="F110" s="2" t="s">
        <v>47</v>
      </c>
      <c r="G110" s="2" t="s">
        <v>39</v>
      </c>
      <c r="H110" s="2" t="s">
        <v>44</v>
      </c>
      <c r="I110" s="2"/>
      <c r="K110" s="6">
        <f>_xlfn.XLOOKUP(Cases_Tbl[[#This Row],[Priority]],SLA_Table!$A$2:$A$4,SLA_Table!$B$2:$B$4)</f>
        <v>10</v>
      </c>
      <c r="L110" s="6">
        <f t="shared" si="5"/>
        <v>9</v>
      </c>
      <c r="M110" s="6" t="str">
        <f t="shared" si="6"/>
        <v>Yes</v>
      </c>
      <c r="N110" s="11">
        <f t="shared" si="7"/>
        <v>46286</v>
      </c>
      <c r="O110" s="9">
        <f t="shared" si="8"/>
        <v>46293</v>
      </c>
      <c r="P110" s="28" t="str">
        <f>IF(D110="Open",KPI!$K$13-B110,"")</f>
        <v/>
      </c>
      <c r="Q110" s="24" t="str">
        <f t="shared" si="9"/>
        <v/>
      </c>
    </row>
    <row r="111" spans="1:17">
      <c r="A111" s="2" t="s">
        <v>163</v>
      </c>
      <c r="B111" s="4">
        <v>46286</v>
      </c>
      <c r="C111" s="4">
        <v>46288</v>
      </c>
      <c r="D111" s="2" t="s">
        <v>25</v>
      </c>
      <c r="E111" s="2" t="s">
        <v>43</v>
      </c>
      <c r="F111" s="2" t="s">
        <v>47</v>
      </c>
      <c r="G111" s="2" t="s">
        <v>28</v>
      </c>
      <c r="H111" s="2" t="s">
        <v>44</v>
      </c>
      <c r="I111" s="2"/>
      <c r="K111" s="6">
        <f>_xlfn.XLOOKUP(Cases_Tbl[[#This Row],[Priority]],SLA_Table!$A$2:$A$4,SLA_Table!$B$2:$B$4)</f>
        <v>2</v>
      </c>
      <c r="L111" s="6">
        <f t="shared" si="5"/>
        <v>2</v>
      </c>
      <c r="M111" s="6" t="str">
        <f t="shared" si="6"/>
        <v>Yes</v>
      </c>
      <c r="N111" s="11">
        <f t="shared" si="7"/>
        <v>46286</v>
      </c>
      <c r="O111" s="9">
        <f t="shared" si="8"/>
        <v>46286</v>
      </c>
      <c r="P111" s="28" t="str">
        <f>IF(D111="Open",KPI!$K$13-B111,"")</f>
        <v/>
      </c>
      <c r="Q111" s="24" t="str">
        <f t="shared" si="9"/>
        <v/>
      </c>
    </row>
    <row r="112" spans="1:17">
      <c r="A112" s="2" t="s">
        <v>164</v>
      </c>
      <c r="B112" s="4">
        <v>46286</v>
      </c>
      <c r="C112" s="4">
        <v>46291</v>
      </c>
      <c r="D112" s="2" t="s">
        <v>25</v>
      </c>
      <c r="E112" s="2" t="s">
        <v>26</v>
      </c>
      <c r="F112" s="2" t="s">
        <v>47</v>
      </c>
      <c r="G112" s="2" t="s">
        <v>39</v>
      </c>
      <c r="H112" s="2" t="s">
        <v>54</v>
      </c>
      <c r="I112" s="2"/>
      <c r="K112" s="6">
        <f>_xlfn.XLOOKUP(Cases_Tbl[[#This Row],[Priority]],SLA_Table!$A$2:$A$4,SLA_Table!$B$2:$B$4)</f>
        <v>5</v>
      </c>
      <c r="L112" s="6">
        <f t="shared" si="5"/>
        <v>5</v>
      </c>
      <c r="M112" s="6" t="str">
        <f t="shared" si="6"/>
        <v>Yes</v>
      </c>
      <c r="N112" s="11">
        <f t="shared" si="7"/>
        <v>46286</v>
      </c>
      <c r="O112" s="9">
        <f t="shared" si="8"/>
        <v>46286</v>
      </c>
      <c r="P112" s="28" t="str">
        <f>IF(D112="Open",KPI!$K$13-B112,"")</f>
        <v/>
      </c>
      <c r="Q112" s="24" t="str">
        <f t="shared" si="9"/>
        <v/>
      </c>
    </row>
    <row r="113" spans="1:17">
      <c r="A113" s="2" t="s">
        <v>165</v>
      </c>
      <c r="B113" s="4">
        <v>46287</v>
      </c>
      <c r="C113" s="4">
        <v>46294</v>
      </c>
      <c r="D113" s="2" t="s">
        <v>25</v>
      </c>
      <c r="E113" s="2" t="s">
        <v>26</v>
      </c>
      <c r="F113" s="2" t="s">
        <v>47</v>
      </c>
      <c r="G113" s="2" t="s">
        <v>28</v>
      </c>
      <c r="H113" s="2" t="s">
        <v>54</v>
      </c>
      <c r="I113" s="2" t="s">
        <v>55</v>
      </c>
      <c r="K113" s="6">
        <f>_xlfn.XLOOKUP(Cases_Tbl[[#This Row],[Priority]],SLA_Table!$A$2:$A$4,SLA_Table!$B$2:$B$4)</f>
        <v>5</v>
      </c>
      <c r="L113" s="6">
        <f t="shared" si="5"/>
        <v>7</v>
      </c>
      <c r="M113" s="6" t="str">
        <f t="shared" si="6"/>
        <v>No</v>
      </c>
      <c r="N113" s="11">
        <f t="shared" si="7"/>
        <v>46286</v>
      </c>
      <c r="O113" s="9">
        <f t="shared" si="8"/>
        <v>46293</v>
      </c>
      <c r="P113" s="28" t="str">
        <f>IF(D113="Open",KPI!$K$13-B113,"")</f>
        <v/>
      </c>
      <c r="Q113" s="24" t="str">
        <f t="shared" si="9"/>
        <v/>
      </c>
    </row>
    <row r="114" spans="1:17">
      <c r="A114" s="2" t="s">
        <v>166</v>
      </c>
      <c r="B114" s="4">
        <v>46287</v>
      </c>
      <c r="C114" s="4">
        <v>46292</v>
      </c>
      <c r="D114" s="2" t="s">
        <v>25</v>
      </c>
      <c r="E114" s="2" t="s">
        <v>26</v>
      </c>
      <c r="F114" s="2" t="s">
        <v>38</v>
      </c>
      <c r="G114" s="2" t="s">
        <v>39</v>
      </c>
      <c r="H114" s="2" t="s">
        <v>36</v>
      </c>
      <c r="I114" s="2"/>
      <c r="K114" s="6">
        <f>_xlfn.XLOOKUP(Cases_Tbl[[#This Row],[Priority]],SLA_Table!$A$2:$A$4,SLA_Table!$B$2:$B$4)</f>
        <v>5</v>
      </c>
      <c r="L114" s="6">
        <f t="shared" si="5"/>
        <v>5</v>
      </c>
      <c r="M114" s="6" t="str">
        <f t="shared" si="6"/>
        <v>Yes</v>
      </c>
      <c r="N114" s="11">
        <f t="shared" si="7"/>
        <v>46286</v>
      </c>
      <c r="O114" s="9">
        <f t="shared" si="8"/>
        <v>46286</v>
      </c>
      <c r="P114" s="28" t="str">
        <f>IF(D114="Open",KPI!$K$13-B114,"")</f>
        <v/>
      </c>
      <c r="Q114" s="24" t="str">
        <f t="shared" si="9"/>
        <v/>
      </c>
    </row>
    <row r="115" spans="1:17">
      <c r="A115" s="2" t="s">
        <v>167</v>
      </c>
      <c r="B115" s="4">
        <v>46287</v>
      </c>
      <c r="C115" s="4">
        <v>46289</v>
      </c>
      <c r="D115" s="2" t="s">
        <v>25</v>
      </c>
      <c r="E115" s="2" t="s">
        <v>43</v>
      </c>
      <c r="F115" s="2" t="s">
        <v>31</v>
      </c>
      <c r="G115" s="2" t="s">
        <v>28</v>
      </c>
      <c r="H115" s="2" t="s">
        <v>54</v>
      </c>
      <c r="I115" s="2"/>
      <c r="K115" s="6">
        <f>_xlfn.XLOOKUP(Cases_Tbl[[#This Row],[Priority]],SLA_Table!$A$2:$A$4,SLA_Table!$B$2:$B$4)</f>
        <v>2</v>
      </c>
      <c r="L115" s="6">
        <f t="shared" si="5"/>
        <v>2</v>
      </c>
      <c r="M115" s="6" t="str">
        <f t="shared" si="6"/>
        <v>Yes</v>
      </c>
      <c r="N115" s="11">
        <f t="shared" si="7"/>
        <v>46286</v>
      </c>
      <c r="O115" s="9">
        <f t="shared" si="8"/>
        <v>46286</v>
      </c>
      <c r="P115" s="28" t="str">
        <f>IF(D115="Open",KPI!$K$13-B115,"")</f>
        <v/>
      </c>
      <c r="Q115" s="24" t="str">
        <f t="shared" si="9"/>
        <v/>
      </c>
    </row>
    <row r="116" spans="1:17">
      <c r="A116" s="2" t="s">
        <v>168</v>
      </c>
      <c r="B116" s="4">
        <v>46288</v>
      </c>
      <c r="C116" s="4">
        <v>46289</v>
      </c>
      <c r="D116" s="2" t="s">
        <v>25</v>
      </c>
      <c r="E116" s="2" t="s">
        <v>26</v>
      </c>
      <c r="F116" s="2" t="s">
        <v>27</v>
      </c>
      <c r="G116" s="2" t="s">
        <v>32</v>
      </c>
      <c r="H116" s="2" t="s">
        <v>44</v>
      </c>
      <c r="I116" s="2"/>
      <c r="K116" s="6">
        <f>_xlfn.XLOOKUP(Cases_Tbl[[#This Row],[Priority]],SLA_Table!$A$2:$A$4,SLA_Table!$B$2:$B$4)</f>
        <v>5</v>
      </c>
      <c r="L116" s="6">
        <f t="shared" si="5"/>
        <v>1</v>
      </c>
      <c r="M116" s="6" t="str">
        <f t="shared" si="6"/>
        <v>Yes</v>
      </c>
      <c r="N116" s="11">
        <f t="shared" si="7"/>
        <v>46286</v>
      </c>
      <c r="O116" s="9">
        <f t="shared" si="8"/>
        <v>46286</v>
      </c>
      <c r="P116" s="28" t="str">
        <f>IF(D116="Open",KPI!$K$13-B116,"")</f>
        <v/>
      </c>
      <c r="Q116" s="24" t="str">
        <f t="shared" si="9"/>
        <v/>
      </c>
    </row>
    <row r="117" spans="1:17">
      <c r="A117" s="2" t="s">
        <v>169</v>
      </c>
      <c r="B117" s="8">
        <v>46288</v>
      </c>
      <c r="C117" s="4">
        <v>46295</v>
      </c>
      <c r="D117" s="2" t="s">
        <v>25</v>
      </c>
      <c r="E117" s="2" t="s">
        <v>26</v>
      </c>
      <c r="F117" s="2" t="s">
        <v>47</v>
      </c>
      <c r="G117" s="2" t="s">
        <v>32</v>
      </c>
      <c r="H117" s="2" t="s">
        <v>48</v>
      </c>
      <c r="I117" s="2" t="s">
        <v>55</v>
      </c>
      <c r="K117" s="6">
        <f>_xlfn.XLOOKUP(Cases_Tbl[[#This Row],[Priority]],SLA_Table!$A$2:$A$4,SLA_Table!$B$2:$B$4)</f>
        <v>5</v>
      </c>
      <c r="L117" s="6">
        <f t="shared" si="5"/>
        <v>7</v>
      </c>
      <c r="M117" s="6" t="str">
        <f t="shared" si="6"/>
        <v>No</v>
      </c>
      <c r="N117" s="11">
        <f t="shared" si="7"/>
        <v>46286</v>
      </c>
      <c r="O117" s="9">
        <f t="shared" si="8"/>
        <v>46293</v>
      </c>
      <c r="P117" s="28" t="str">
        <f>IF(D117="Open",KPI!$K$13-B117,"")</f>
        <v/>
      </c>
      <c r="Q117" s="24" t="str">
        <f t="shared" si="9"/>
        <v/>
      </c>
    </row>
    <row r="118" spans="1:17">
      <c r="A118" s="2" t="s">
        <v>171</v>
      </c>
      <c r="B118" s="4">
        <v>46288</v>
      </c>
      <c r="C118" s="4">
        <v>46290</v>
      </c>
      <c r="D118" s="2" t="s">
        <v>25</v>
      </c>
      <c r="E118" s="2" t="s">
        <v>26</v>
      </c>
      <c r="F118" s="2" t="s">
        <v>31</v>
      </c>
      <c r="G118" s="2" t="s">
        <v>32</v>
      </c>
      <c r="H118" s="2" t="s">
        <v>29</v>
      </c>
      <c r="I118" s="2"/>
      <c r="K118" s="6">
        <f>_xlfn.XLOOKUP(Cases_Tbl[[#This Row],[Priority]],SLA_Table!$A$2:$A$4,SLA_Table!$B$2:$B$4)</f>
        <v>5</v>
      </c>
      <c r="L118" s="6">
        <f t="shared" si="5"/>
        <v>2</v>
      </c>
      <c r="M118" s="6" t="str">
        <f t="shared" si="6"/>
        <v>Yes</v>
      </c>
      <c r="N118" s="11">
        <f t="shared" si="7"/>
        <v>46286</v>
      </c>
      <c r="O118" s="9">
        <f t="shared" si="8"/>
        <v>46286</v>
      </c>
      <c r="P118" s="28" t="str">
        <f>IF(D118="Open",KPI!$K$13-B118,"")</f>
        <v/>
      </c>
      <c r="Q118" s="24" t="str">
        <f t="shared" si="9"/>
        <v/>
      </c>
    </row>
    <row r="119" spans="1:17">
      <c r="A119" s="2" t="s">
        <v>172</v>
      </c>
      <c r="B119" s="4">
        <v>46288</v>
      </c>
      <c r="C119" s="4">
        <v>46295</v>
      </c>
      <c r="D119" s="2" t="s">
        <v>25</v>
      </c>
      <c r="E119" s="2" t="s">
        <v>43</v>
      </c>
      <c r="F119" s="2" t="s">
        <v>31</v>
      </c>
      <c r="G119" s="2" t="s">
        <v>28</v>
      </c>
      <c r="H119" s="2" t="s">
        <v>29</v>
      </c>
      <c r="I119" s="2" t="s">
        <v>55</v>
      </c>
      <c r="K119" s="6">
        <f>_xlfn.XLOOKUP(Cases_Tbl[[#This Row],[Priority]],SLA_Table!$A$2:$A$4,SLA_Table!$B$2:$B$4)</f>
        <v>2</v>
      </c>
      <c r="L119" s="6">
        <f t="shared" si="5"/>
        <v>7</v>
      </c>
      <c r="M119" s="6" t="str">
        <f t="shared" si="6"/>
        <v>No</v>
      </c>
      <c r="N119" s="11">
        <f t="shared" si="7"/>
        <v>46286</v>
      </c>
      <c r="O119" s="9">
        <f t="shared" si="8"/>
        <v>46293</v>
      </c>
      <c r="P119" s="28" t="str">
        <f>IF(D119="Open",KPI!$K$13-B119,"")</f>
        <v/>
      </c>
      <c r="Q119" s="24" t="str">
        <f t="shared" si="9"/>
        <v/>
      </c>
    </row>
    <row r="120" spans="1:17">
      <c r="A120" s="2" t="s">
        <v>173</v>
      </c>
      <c r="B120" s="4">
        <v>46288</v>
      </c>
      <c r="C120" s="4">
        <v>46291</v>
      </c>
      <c r="D120" s="2" t="s">
        <v>25</v>
      </c>
      <c r="E120" s="2" t="s">
        <v>26</v>
      </c>
      <c r="F120" s="2" t="s">
        <v>31</v>
      </c>
      <c r="G120" s="2" t="s">
        <v>28</v>
      </c>
      <c r="H120" s="2" t="s">
        <v>48</v>
      </c>
      <c r="I120" s="2"/>
      <c r="K120" s="6">
        <f>_xlfn.XLOOKUP(Cases_Tbl[[#This Row],[Priority]],SLA_Table!$A$2:$A$4,SLA_Table!$B$2:$B$4)</f>
        <v>5</v>
      </c>
      <c r="L120" s="6">
        <f t="shared" si="5"/>
        <v>3</v>
      </c>
      <c r="M120" s="6" t="str">
        <f t="shared" si="6"/>
        <v>Yes</v>
      </c>
      <c r="N120" s="11">
        <f t="shared" si="7"/>
        <v>46286</v>
      </c>
      <c r="O120" s="9">
        <f t="shared" si="8"/>
        <v>46286</v>
      </c>
      <c r="P120" s="28" t="str">
        <f>IF(D120="Open",KPI!$K$13-B120,"")</f>
        <v/>
      </c>
      <c r="Q120" s="24" t="str">
        <f t="shared" si="9"/>
        <v/>
      </c>
    </row>
    <row r="121" spans="1:17">
      <c r="A121" s="2" t="s">
        <v>174</v>
      </c>
      <c r="B121" s="4">
        <v>46288</v>
      </c>
      <c r="C121" s="4">
        <v>46296</v>
      </c>
      <c r="D121" s="2" t="s">
        <v>25</v>
      </c>
      <c r="E121" s="2" t="s">
        <v>35</v>
      </c>
      <c r="F121" s="2" t="s">
        <v>41</v>
      </c>
      <c r="G121" s="2" t="s">
        <v>39</v>
      </c>
      <c r="H121" s="2" t="s">
        <v>48</v>
      </c>
      <c r="I121" s="2"/>
      <c r="K121" s="6">
        <f>_xlfn.XLOOKUP(Cases_Tbl[[#This Row],[Priority]],SLA_Table!$A$2:$A$4,SLA_Table!$B$2:$B$4)</f>
        <v>10</v>
      </c>
      <c r="L121" s="6">
        <f t="shared" si="5"/>
        <v>8</v>
      </c>
      <c r="M121" s="6" t="str">
        <f t="shared" si="6"/>
        <v>Yes</v>
      </c>
      <c r="N121" s="11">
        <f t="shared" si="7"/>
        <v>46286</v>
      </c>
      <c r="O121" s="9">
        <f t="shared" si="8"/>
        <v>46293</v>
      </c>
      <c r="P121" s="28" t="str">
        <f>IF(D121="Open",KPI!$K$13-B121,"")</f>
        <v/>
      </c>
      <c r="Q121" s="24" t="str">
        <f t="shared" si="9"/>
        <v/>
      </c>
    </row>
    <row r="122" spans="1:17">
      <c r="A122" s="2" t="s">
        <v>175</v>
      </c>
      <c r="B122" s="4">
        <v>46288</v>
      </c>
      <c r="C122" s="4">
        <v>46294</v>
      </c>
      <c r="D122" s="2" t="s">
        <v>25</v>
      </c>
      <c r="E122" s="2" t="s">
        <v>26</v>
      </c>
      <c r="F122" s="2" t="s">
        <v>27</v>
      </c>
      <c r="G122" s="2" t="s">
        <v>39</v>
      </c>
      <c r="H122" s="2" t="s">
        <v>33</v>
      </c>
      <c r="I122" s="2" t="s">
        <v>55</v>
      </c>
      <c r="K122" s="6">
        <f>_xlfn.XLOOKUP(Cases_Tbl[[#This Row],[Priority]],SLA_Table!$A$2:$A$4,SLA_Table!$B$2:$B$4)</f>
        <v>5</v>
      </c>
      <c r="L122" s="6">
        <f t="shared" si="5"/>
        <v>6</v>
      </c>
      <c r="M122" s="6" t="str">
        <f t="shared" si="6"/>
        <v>No</v>
      </c>
      <c r="N122" s="11">
        <f t="shared" si="7"/>
        <v>46286</v>
      </c>
      <c r="O122" s="9">
        <f t="shared" si="8"/>
        <v>46293</v>
      </c>
      <c r="P122" s="28" t="str">
        <f>IF(D122="Open",KPI!$K$13-B122,"")</f>
        <v/>
      </c>
      <c r="Q122" s="24" t="str">
        <f t="shared" si="9"/>
        <v/>
      </c>
    </row>
    <row r="123" spans="1:17">
      <c r="A123" s="2" t="s">
        <v>176</v>
      </c>
      <c r="B123" s="4">
        <v>46289</v>
      </c>
      <c r="C123" s="4">
        <v>46292</v>
      </c>
      <c r="D123" s="2" t="s">
        <v>25</v>
      </c>
      <c r="E123" s="2" t="s">
        <v>26</v>
      </c>
      <c r="F123" s="2" t="s">
        <v>41</v>
      </c>
      <c r="G123" s="2" t="s">
        <v>39</v>
      </c>
      <c r="H123" s="2" t="s">
        <v>29</v>
      </c>
      <c r="I123" s="2"/>
      <c r="K123" s="6">
        <f>_xlfn.XLOOKUP(Cases_Tbl[[#This Row],[Priority]],SLA_Table!$A$2:$A$4,SLA_Table!$B$2:$B$4)</f>
        <v>5</v>
      </c>
      <c r="L123" s="6">
        <f t="shared" si="5"/>
        <v>3</v>
      </c>
      <c r="M123" s="6" t="str">
        <f t="shared" si="6"/>
        <v>Yes</v>
      </c>
      <c r="N123" s="11">
        <f t="shared" si="7"/>
        <v>46286</v>
      </c>
      <c r="O123" s="9">
        <f t="shared" si="8"/>
        <v>46286</v>
      </c>
      <c r="P123" s="28" t="str">
        <f>IF(D123="Open",KPI!$K$13-B123,"")</f>
        <v/>
      </c>
      <c r="Q123" s="24" t="str">
        <f t="shared" si="9"/>
        <v/>
      </c>
    </row>
    <row r="124" spans="1:17">
      <c r="A124" s="2" t="s">
        <v>177</v>
      </c>
      <c r="B124" s="4">
        <v>46289</v>
      </c>
      <c r="C124" s="4">
        <v>46293</v>
      </c>
      <c r="D124" s="2" t="s">
        <v>25</v>
      </c>
      <c r="E124" s="2" t="s">
        <v>26</v>
      </c>
      <c r="F124" s="2" t="s">
        <v>38</v>
      </c>
      <c r="G124" s="2" t="s">
        <v>28</v>
      </c>
      <c r="H124" s="2" t="s">
        <v>33</v>
      </c>
      <c r="I124" s="2"/>
      <c r="K124" s="6">
        <f>_xlfn.XLOOKUP(Cases_Tbl[[#This Row],[Priority]],SLA_Table!$A$2:$A$4,SLA_Table!$B$2:$B$4)</f>
        <v>5</v>
      </c>
      <c r="L124" s="6">
        <f t="shared" si="5"/>
        <v>4</v>
      </c>
      <c r="M124" s="6" t="str">
        <f t="shared" si="6"/>
        <v>Yes</v>
      </c>
      <c r="N124" s="11">
        <f t="shared" si="7"/>
        <v>46286</v>
      </c>
      <c r="O124" s="9">
        <f t="shared" si="8"/>
        <v>46293</v>
      </c>
      <c r="P124" s="28" t="str">
        <f>IF(D124="Open",KPI!$K$13-B124,"")</f>
        <v/>
      </c>
      <c r="Q124" s="24" t="str">
        <f t="shared" si="9"/>
        <v/>
      </c>
    </row>
    <row r="125" spans="1:17">
      <c r="A125" s="2" t="s">
        <v>178</v>
      </c>
      <c r="B125" s="4">
        <v>46289</v>
      </c>
      <c r="C125" s="4">
        <v>46297</v>
      </c>
      <c r="D125" s="2" t="s">
        <v>25</v>
      </c>
      <c r="E125" s="2" t="s">
        <v>35</v>
      </c>
      <c r="F125" s="2" t="s">
        <v>31</v>
      </c>
      <c r="G125" s="2" t="s">
        <v>39</v>
      </c>
      <c r="H125" s="2" t="s">
        <v>33</v>
      </c>
      <c r="I125" s="2"/>
      <c r="K125" s="6">
        <f>_xlfn.XLOOKUP(Cases_Tbl[[#This Row],[Priority]],SLA_Table!$A$2:$A$4,SLA_Table!$B$2:$B$4)</f>
        <v>10</v>
      </c>
      <c r="L125" s="6">
        <f t="shared" si="5"/>
        <v>8</v>
      </c>
      <c r="M125" s="6" t="str">
        <f t="shared" si="6"/>
        <v>Yes</v>
      </c>
      <c r="N125" s="11">
        <f t="shared" si="7"/>
        <v>46286</v>
      </c>
      <c r="O125" s="9">
        <f t="shared" si="8"/>
        <v>46293</v>
      </c>
      <c r="P125" s="28" t="str">
        <f>IF(D125="Open",KPI!$K$13-B125,"")</f>
        <v/>
      </c>
      <c r="Q125" s="24" t="str">
        <f t="shared" si="9"/>
        <v/>
      </c>
    </row>
    <row r="126" spans="1:17">
      <c r="A126" s="2" t="s">
        <v>179</v>
      </c>
      <c r="B126" s="4">
        <v>46290</v>
      </c>
      <c r="C126" s="4">
        <v>46291</v>
      </c>
      <c r="D126" s="2" t="s">
        <v>25</v>
      </c>
      <c r="E126" s="2" t="s">
        <v>26</v>
      </c>
      <c r="F126" s="2" t="s">
        <v>41</v>
      </c>
      <c r="G126" s="2" t="s">
        <v>28</v>
      </c>
      <c r="H126" s="2" t="s">
        <v>33</v>
      </c>
      <c r="I126" s="2"/>
      <c r="K126" s="6">
        <f>_xlfn.XLOOKUP(Cases_Tbl[[#This Row],[Priority]],SLA_Table!$A$2:$A$4,SLA_Table!$B$2:$B$4)</f>
        <v>5</v>
      </c>
      <c r="L126" s="6">
        <f t="shared" si="5"/>
        <v>1</v>
      </c>
      <c r="M126" s="6" t="str">
        <f t="shared" si="6"/>
        <v>Yes</v>
      </c>
      <c r="N126" s="11">
        <f t="shared" si="7"/>
        <v>46286</v>
      </c>
      <c r="O126" s="9">
        <f t="shared" si="8"/>
        <v>46286</v>
      </c>
      <c r="P126" s="28" t="str">
        <f>IF(D126="Open",KPI!$K$13-B126,"")</f>
        <v/>
      </c>
      <c r="Q126" s="24" t="str">
        <f t="shared" si="9"/>
        <v/>
      </c>
    </row>
    <row r="127" spans="1:17">
      <c r="A127" s="2" t="s">
        <v>180</v>
      </c>
      <c r="B127" s="4">
        <v>46290</v>
      </c>
      <c r="C127" s="4">
        <v>46302</v>
      </c>
      <c r="D127" s="2" t="s">
        <v>25</v>
      </c>
      <c r="E127" s="2" t="s">
        <v>35</v>
      </c>
      <c r="F127" s="2" t="s">
        <v>31</v>
      </c>
      <c r="G127" s="2" t="s">
        <v>39</v>
      </c>
      <c r="H127" s="2" t="s">
        <v>36</v>
      </c>
      <c r="I127" s="2" t="s">
        <v>52</v>
      </c>
      <c r="K127" s="6">
        <f>_xlfn.XLOOKUP(Cases_Tbl[[#This Row],[Priority]],SLA_Table!$A$2:$A$4,SLA_Table!$B$2:$B$4)</f>
        <v>10</v>
      </c>
      <c r="L127" s="6">
        <f t="shared" si="5"/>
        <v>12</v>
      </c>
      <c r="M127" s="6" t="str">
        <f t="shared" si="6"/>
        <v>No</v>
      </c>
      <c r="N127" s="11">
        <f t="shared" si="7"/>
        <v>46286</v>
      </c>
      <c r="O127" s="9">
        <f t="shared" si="8"/>
        <v>46300</v>
      </c>
      <c r="P127" s="28" t="str">
        <f>IF(D127="Open",KPI!$K$13-B127,"")</f>
        <v/>
      </c>
      <c r="Q127" s="24" t="str">
        <f t="shared" si="9"/>
        <v/>
      </c>
    </row>
    <row r="128" spans="1:17">
      <c r="A128" s="2" t="s">
        <v>181</v>
      </c>
      <c r="B128" s="8">
        <v>46290</v>
      </c>
      <c r="C128" s="4">
        <v>46297</v>
      </c>
      <c r="D128" s="2" t="s">
        <v>25</v>
      </c>
      <c r="E128" s="2" t="s">
        <v>35</v>
      </c>
      <c r="F128" s="2" t="s">
        <v>41</v>
      </c>
      <c r="G128" s="2" t="s">
        <v>39</v>
      </c>
      <c r="H128" s="2" t="s">
        <v>36</v>
      </c>
      <c r="I128" s="2"/>
      <c r="K128" s="6">
        <f>_xlfn.XLOOKUP(Cases_Tbl[[#This Row],[Priority]],SLA_Table!$A$2:$A$4,SLA_Table!$B$2:$B$4)</f>
        <v>10</v>
      </c>
      <c r="L128" s="6">
        <f t="shared" si="5"/>
        <v>7</v>
      </c>
      <c r="M128" s="6" t="str">
        <f t="shared" si="6"/>
        <v>Yes</v>
      </c>
      <c r="N128" s="11">
        <f t="shared" si="7"/>
        <v>46286</v>
      </c>
      <c r="O128" s="9">
        <f t="shared" si="8"/>
        <v>46293</v>
      </c>
      <c r="P128" s="28" t="str">
        <f>IF(D128="Open",KPI!$K$13-B128,"")</f>
        <v/>
      </c>
      <c r="Q128" s="24" t="str">
        <f t="shared" si="9"/>
        <v/>
      </c>
    </row>
    <row r="129" spans="1:17">
      <c r="A129" s="2" t="s">
        <v>183</v>
      </c>
      <c r="B129" s="4">
        <v>46290</v>
      </c>
      <c r="C129" s="4">
        <v>46297</v>
      </c>
      <c r="D129" s="2" t="s">
        <v>25</v>
      </c>
      <c r="E129" s="2" t="s">
        <v>35</v>
      </c>
      <c r="F129" s="2" t="s">
        <v>27</v>
      </c>
      <c r="G129" s="2" t="s">
        <v>39</v>
      </c>
      <c r="H129" s="2" t="s">
        <v>33</v>
      </c>
      <c r="I129" s="2"/>
      <c r="K129" s="6">
        <f>_xlfn.XLOOKUP(Cases_Tbl[[#This Row],[Priority]],SLA_Table!$A$2:$A$4,SLA_Table!$B$2:$B$4)</f>
        <v>10</v>
      </c>
      <c r="L129" s="6">
        <f t="shared" si="5"/>
        <v>7</v>
      </c>
      <c r="M129" s="6" t="str">
        <f t="shared" si="6"/>
        <v>Yes</v>
      </c>
      <c r="N129" s="11">
        <f t="shared" si="7"/>
        <v>46286</v>
      </c>
      <c r="O129" s="9">
        <f t="shared" si="8"/>
        <v>46293</v>
      </c>
      <c r="P129" s="28" t="str">
        <f>IF(D129="Open",KPI!$K$13-B129,"")</f>
        <v/>
      </c>
      <c r="Q129" s="24" t="str">
        <f t="shared" si="9"/>
        <v/>
      </c>
    </row>
    <row r="130" spans="1:17">
      <c r="A130" s="2" t="s">
        <v>184</v>
      </c>
      <c r="B130" s="4">
        <v>46291</v>
      </c>
      <c r="C130" s="4">
        <v>46299</v>
      </c>
      <c r="D130" s="2" t="s">
        <v>25</v>
      </c>
      <c r="E130" s="2" t="s">
        <v>35</v>
      </c>
      <c r="F130" s="2" t="s">
        <v>41</v>
      </c>
      <c r="G130" s="2" t="s">
        <v>32</v>
      </c>
      <c r="H130" s="2" t="s">
        <v>33</v>
      </c>
      <c r="I130" s="2"/>
      <c r="K130" s="6">
        <f>_xlfn.XLOOKUP(Cases_Tbl[[#This Row],[Priority]],SLA_Table!$A$2:$A$4,SLA_Table!$B$2:$B$4)</f>
        <v>10</v>
      </c>
      <c r="L130" s="6">
        <f t="shared" ref="L130:L193" si="10">IF(OR(C130="",J130&lt;&gt;""),"",C130-B130)</f>
        <v>8</v>
      </c>
      <c r="M130" s="6" t="str">
        <f t="shared" ref="M130:M193" si="11">IF(L130="","",IF(L130&lt;=K130,"Yes","No"))</f>
        <v>Yes</v>
      </c>
      <c r="N130" s="11">
        <f t="shared" ref="N130:N193" si="12">B130-WEEKDAY(B130,2)+1</f>
        <v>46286</v>
      </c>
      <c r="O130" s="9">
        <f t="shared" ref="O130:O193" si="13">IF(C130="","",C130-WEEKDAY(C130,2)+1)</f>
        <v>46293</v>
      </c>
      <c r="P130" s="28" t="str">
        <f>IF(D130="Open",KPI!$K$13-B130,"")</f>
        <v/>
      </c>
      <c r="Q130" s="24" t="str">
        <f t="shared" ref="Q130:Q193" si="14">IF(P130="","",IF(P130&gt;K130,"Yes","No"))</f>
        <v/>
      </c>
    </row>
    <row r="131" spans="1:17">
      <c r="A131" s="2" t="s">
        <v>185</v>
      </c>
      <c r="B131" s="4">
        <v>46291</v>
      </c>
      <c r="C131" s="4">
        <v>46292</v>
      </c>
      <c r="D131" s="2" t="s">
        <v>25</v>
      </c>
      <c r="E131" s="2" t="s">
        <v>26</v>
      </c>
      <c r="F131" s="2" t="s">
        <v>41</v>
      </c>
      <c r="G131" s="2" t="s">
        <v>39</v>
      </c>
      <c r="H131" s="2" t="s">
        <v>48</v>
      </c>
      <c r="I131" s="2"/>
      <c r="K131" s="6">
        <f>_xlfn.XLOOKUP(Cases_Tbl[[#This Row],[Priority]],SLA_Table!$A$2:$A$4,SLA_Table!$B$2:$B$4)</f>
        <v>5</v>
      </c>
      <c r="L131" s="6">
        <f t="shared" si="10"/>
        <v>1</v>
      </c>
      <c r="M131" s="6" t="str">
        <f t="shared" si="11"/>
        <v>Yes</v>
      </c>
      <c r="N131" s="11">
        <f t="shared" si="12"/>
        <v>46286</v>
      </c>
      <c r="O131" s="9">
        <f t="shared" si="13"/>
        <v>46286</v>
      </c>
      <c r="P131" s="28" t="str">
        <f>IF(D131="Open",KPI!$K$13-B131,"")</f>
        <v/>
      </c>
      <c r="Q131" s="24" t="str">
        <f t="shared" si="14"/>
        <v/>
      </c>
    </row>
    <row r="132" spans="1:17">
      <c r="A132" s="2" t="s">
        <v>186</v>
      </c>
      <c r="B132" s="4">
        <v>46292</v>
      </c>
      <c r="C132" s="4">
        <v>46294</v>
      </c>
      <c r="D132" s="2" t="s">
        <v>25</v>
      </c>
      <c r="E132" s="2" t="s">
        <v>43</v>
      </c>
      <c r="F132" s="2" t="s">
        <v>31</v>
      </c>
      <c r="G132" s="2" t="s">
        <v>39</v>
      </c>
      <c r="H132" s="2" t="s">
        <v>48</v>
      </c>
      <c r="I132" s="2"/>
      <c r="K132" s="6">
        <f>_xlfn.XLOOKUP(Cases_Tbl[[#This Row],[Priority]],SLA_Table!$A$2:$A$4,SLA_Table!$B$2:$B$4)</f>
        <v>2</v>
      </c>
      <c r="L132" s="6">
        <f t="shared" si="10"/>
        <v>2</v>
      </c>
      <c r="M132" s="6" t="str">
        <f t="shared" si="11"/>
        <v>Yes</v>
      </c>
      <c r="N132" s="11">
        <f t="shared" si="12"/>
        <v>46286</v>
      </c>
      <c r="O132" s="9">
        <f t="shared" si="13"/>
        <v>46293</v>
      </c>
      <c r="P132" s="28" t="str">
        <f>IF(D132="Open",KPI!$K$13-B132,"")</f>
        <v/>
      </c>
      <c r="Q132" s="24" t="str">
        <f t="shared" si="14"/>
        <v/>
      </c>
    </row>
    <row r="133" spans="1:17">
      <c r="A133" s="2" t="s">
        <v>187</v>
      </c>
      <c r="B133" s="4">
        <v>46292</v>
      </c>
      <c r="C133" s="4">
        <v>46298</v>
      </c>
      <c r="D133" s="2" t="s">
        <v>25</v>
      </c>
      <c r="E133" s="2" t="s">
        <v>43</v>
      </c>
      <c r="F133" s="2" t="s">
        <v>47</v>
      </c>
      <c r="G133" s="2" t="s">
        <v>39</v>
      </c>
      <c r="H133" s="2" t="s">
        <v>36</v>
      </c>
      <c r="I133" s="2" t="s">
        <v>55</v>
      </c>
      <c r="K133" s="6">
        <f>_xlfn.XLOOKUP(Cases_Tbl[[#This Row],[Priority]],SLA_Table!$A$2:$A$4,SLA_Table!$B$2:$B$4)</f>
        <v>2</v>
      </c>
      <c r="L133" s="6">
        <f t="shared" si="10"/>
        <v>6</v>
      </c>
      <c r="M133" s="6" t="str">
        <f t="shared" si="11"/>
        <v>No</v>
      </c>
      <c r="N133" s="11">
        <f t="shared" si="12"/>
        <v>46286</v>
      </c>
      <c r="O133" s="9">
        <f t="shared" si="13"/>
        <v>46293</v>
      </c>
      <c r="P133" s="28" t="str">
        <f>IF(D133="Open",KPI!$K$13-B133,"")</f>
        <v/>
      </c>
      <c r="Q133" s="24" t="str">
        <f t="shared" si="14"/>
        <v/>
      </c>
    </row>
    <row r="134" spans="1:17">
      <c r="A134" s="2" t="s">
        <v>188</v>
      </c>
      <c r="B134" s="4">
        <v>46292</v>
      </c>
      <c r="C134" s="4">
        <v>46294</v>
      </c>
      <c r="D134" s="2" t="s">
        <v>25</v>
      </c>
      <c r="E134" s="2" t="s">
        <v>43</v>
      </c>
      <c r="F134" s="2" t="s">
        <v>41</v>
      </c>
      <c r="G134" s="2" t="s">
        <v>28</v>
      </c>
      <c r="H134" s="2" t="s">
        <v>54</v>
      </c>
      <c r="I134" s="2"/>
      <c r="K134" s="6">
        <f>_xlfn.XLOOKUP(Cases_Tbl[[#This Row],[Priority]],SLA_Table!$A$2:$A$4,SLA_Table!$B$2:$B$4)</f>
        <v>2</v>
      </c>
      <c r="L134" s="6">
        <f t="shared" si="10"/>
        <v>2</v>
      </c>
      <c r="M134" s="6" t="str">
        <f t="shared" si="11"/>
        <v>Yes</v>
      </c>
      <c r="N134" s="11">
        <f t="shared" si="12"/>
        <v>46286</v>
      </c>
      <c r="O134" s="9">
        <f t="shared" si="13"/>
        <v>46293</v>
      </c>
      <c r="P134" s="28" t="str">
        <f>IF(D134="Open",KPI!$K$13-B134,"")</f>
        <v/>
      </c>
      <c r="Q134" s="24" t="str">
        <f t="shared" si="14"/>
        <v/>
      </c>
    </row>
    <row r="135" spans="1:17">
      <c r="A135" s="2" t="s">
        <v>189</v>
      </c>
      <c r="B135" s="4">
        <v>46292</v>
      </c>
      <c r="C135" s="4">
        <v>46298</v>
      </c>
      <c r="D135" s="2" t="s">
        <v>25</v>
      </c>
      <c r="E135" s="2" t="s">
        <v>35</v>
      </c>
      <c r="F135" s="2" t="s">
        <v>38</v>
      </c>
      <c r="G135" s="2" t="s">
        <v>39</v>
      </c>
      <c r="H135" s="2" t="s">
        <v>29</v>
      </c>
      <c r="I135" s="2"/>
      <c r="K135" s="6">
        <f>_xlfn.XLOOKUP(Cases_Tbl[[#This Row],[Priority]],SLA_Table!$A$2:$A$4,SLA_Table!$B$2:$B$4)</f>
        <v>10</v>
      </c>
      <c r="L135" s="6">
        <f t="shared" si="10"/>
        <v>6</v>
      </c>
      <c r="M135" s="6" t="str">
        <f t="shared" si="11"/>
        <v>Yes</v>
      </c>
      <c r="N135" s="11">
        <f t="shared" si="12"/>
        <v>46286</v>
      </c>
      <c r="O135" s="9">
        <f t="shared" si="13"/>
        <v>46293</v>
      </c>
      <c r="P135" s="28" t="str">
        <f>IF(D135="Open",KPI!$K$13-B135,"")</f>
        <v/>
      </c>
      <c r="Q135" s="24" t="str">
        <f t="shared" si="14"/>
        <v/>
      </c>
    </row>
    <row r="136" spans="1:17">
      <c r="A136" s="2" t="s">
        <v>190</v>
      </c>
      <c r="B136" s="4">
        <v>46292</v>
      </c>
      <c r="C136" s="4">
        <v>46301</v>
      </c>
      <c r="D136" s="2" t="s">
        <v>25</v>
      </c>
      <c r="E136" s="2" t="s">
        <v>35</v>
      </c>
      <c r="F136" s="2" t="s">
        <v>47</v>
      </c>
      <c r="G136" s="2" t="s">
        <v>39</v>
      </c>
      <c r="H136" s="2" t="s">
        <v>44</v>
      </c>
      <c r="I136" s="2"/>
      <c r="K136" s="6">
        <f>_xlfn.XLOOKUP(Cases_Tbl[[#This Row],[Priority]],SLA_Table!$A$2:$A$4,SLA_Table!$B$2:$B$4)</f>
        <v>10</v>
      </c>
      <c r="L136" s="6">
        <f t="shared" si="10"/>
        <v>9</v>
      </c>
      <c r="M136" s="6" t="str">
        <f t="shared" si="11"/>
        <v>Yes</v>
      </c>
      <c r="N136" s="11">
        <f t="shared" si="12"/>
        <v>46286</v>
      </c>
      <c r="O136" s="9">
        <f t="shared" si="13"/>
        <v>46300</v>
      </c>
      <c r="P136" s="28" t="str">
        <f>IF(D136="Open",KPI!$K$13-B136,"")</f>
        <v/>
      </c>
      <c r="Q136" s="24" t="str">
        <f t="shared" si="14"/>
        <v/>
      </c>
    </row>
    <row r="137" spans="1:17">
      <c r="A137" s="2" t="s">
        <v>191</v>
      </c>
      <c r="B137" s="4">
        <v>46292</v>
      </c>
      <c r="C137" s="4">
        <v>46298</v>
      </c>
      <c r="D137" s="2" t="s">
        <v>25</v>
      </c>
      <c r="E137" s="2" t="s">
        <v>35</v>
      </c>
      <c r="F137" s="2" t="s">
        <v>41</v>
      </c>
      <c r="G137" s="2" t="s">
        <v>39</v>
      </c>
      <c r="H137" s="2" t="s">
        <v>44</v>
      </c>
      <c r="I137" s="2"/>
      <c r="K137" s="6">
        <f>_xlfn.XLOOKUP(Cases_Tbl[[#This Row],[Priority]],SLA_Table!$A$2:$A$4,SLA_Table!$B$2:$B$4)</f>
        <v>10</v>
      </c>
      <c r="L137" s="6">
        <f t="shared" si="10"/>
        <v>6</v>
      </c>
      <c r="M137" s="6" t="str">
        <f t="shared" si="11"/>
        <v>Yes</v>
      </c>
      <c r="N137" s="11">
        <f t="shared" si="12"/>
        <v>46286</v>
      </c>
      <c r="O137" s="9">
        <f t="shared" si="13"/>
        <v>46293</v>
      </c>
      <c r="P137" s="28" t="str">
        <f>IF(D137="Open",KPI!$K$13-B137,"")</f>
        <v/>
      </c>
      <c r="Q137" s="24" t="str">
        <f t="shared" si="14"/>
        <v/>
      </c>
    </row>
    <row r="138" spans="1:17">
      <c r="A138" s="2" t="s">
        <v>192</v>
      </c>
      <c r="B138" s="4">
        <v>46292</v>
      </c>
      <c r="C138" s="4">
        <v>46302</v>
      </c>
      <c r="D138" s="2" t="s">
        <v>25</v>
      </c>
      <c r="E138" s="2" t="s">
        <v>35</v>
      </c>
      <c r="F138" s="2" t="s">
        <v>31</v>
      </c>
      <c r="G138" s="2" t="s">
        <v>32</v>
      </c>
      <c r="H138" s="2" t="s">
        <v>54</v>
      </c>
      <c r="I138" s="2"/>
      <c r="K138" s="6">
        <f>_xlfn.XLOOKUP(Cases_Tbl[[#This Row],[Priority]],SLA_Table!$A$2:$A$4,SLA_Table!$B$2:$B$4)</f>
        <v>10</v>
      </c>
      <c r="L138" s="6">
        <f t="shared" si="10"/>
        <v>10</v>
      </c>
      <c r="M138" s="6" t="str">
        <f t="shared" si="11"/>
        <v>Yes</v>
      </c>
      <c r="N138" s="11">
        <f t="shared" si="12"/>
        <v>46286</v>
      </c>
      <c r="O138" s="9">
        <f t="shared" si="13"/>
        <v>46300</v>
      </c>
      <c r="P138" s="28" t="str">
        <f>IF(D138="Open",KPI!$K$13-B138,"")</f>
        <v/>
      </c>
      <c r="Q138" s="24" t="str">
        <f t="shared" si="14"/>
        <v/>
      </c>
    </row>
    <row r="139" spans="1:17">
      <c r="A139" s="2" t="s">
        <v>193</v>
      </c>
      <c r="B139" s="4">
        <v>46293</v>
      </c>
      <c r="C139" s="4">
        <v>46305</v>
      </c>
      <c r="D139" s="2" t="s">
        <v>25</v>
      </c>
      <c r="E139" s="2" t="s">
        <v>35</v>
      </c>
      <c r="F139" s="2" t="s">
        <v>38</v>
      </c>
      <c r="G139" s="2" t="s">
        <v>39</v>
      </c>
      <c r="H139" s="2" t="s">
        <v>36</v>
      </c>
      <c r="I139" s="6" t="s">
        <v>398</v>
      </c>
      <c r="K139" s="6">
        <f>_xlfn.XLOOKUP(Cases_Tbl[[#This Row],[Priority]],SLA_Table!$A$2:$A$4,SLA_Table!$B$2:$B$4)</f>
        <v>10</v>
      </c>
      <c r="L139" s="6">
        <f t="shared" si="10"/>
        <v>12</v>
      </c>
      <c r="M139" s="6" t="str">
        <f t="shared" si="11"/>
        <v>No</v>
      </c>
      <c r="N139" s="11">
        <f t="shared" si="12"/>
        <v>46293</v>
      </c>
      <c r="O139" s="9">
        <f t="shared" si="13"/>
        <v>46300</v>
      </c>
      <c r="P139" s="28" t="str">
        <f>IF(D139="Open",KPI!$K$13-B139,"")</f>
        <v/>
      </c>
      <c r="Q139" s="24" t="str">
        <f t="shared" si="14"/>
        <v/>
      </c>
    </row>
    <row r="140" spans="1:17">
      <c r="A140" s="2" t="s">
        <v>195</v>
      </c>
      <c r="B140" s="4">
        <v>46293</v>
      </c>
      <c r="C140" s="4">
        <v>46304</v>
      </c>
      <c r="D140" s="2" t="s">
        <v>25</v>
      </c>
      <c r="E140" s="2" t="s">
        <v>35</v>
      </c>
      <c r="F140" s="2" t="s">
        <v>47</v>
      </c>
      <c r="G140" s="2" t="s">
        <v>28</v>
      </c>
      <c r="H140" s="2" t="s">
        <v>29</v>
      </c>
      <c r="I140" s="2" t="s">
        <v>98</v>
      </c>
      <c r="K140" s="6">
        <f>_xlfn.XLOOKUP(Cases_Tbl[[#This Row],[Priority]],SLA_Table!$A$2:$A$4,SLA_Table!$B$2:$B$4)</f>
        <v>10</v>
      </c>
      <c r="L140" s="6">
        <f t="shared" si="10"/>
        <v>11</v>
      </c>
      <c r="M140" s="6" t="str">
        <f t="shared" si="11"/>
        <v>No</v>
      </c>
      <c r="N140" s="11">
        <f t="shared" si="12"/>
        <v>46293</v>
      </c>
      <c r="O140" s="9">
        <f t="shared" si="13"/>
        <v>46300</v>
      </c>
      <c r="P140" s="28" t="str">
        <f>IF(D140="Open",KPI!$K$13-B140,"")</f>
        <v/>
      </c>
      <c r="Q140" s="24" t="str">
        <f t="shared" si="14"/>
        <v/>
      </c>
    </row>
    <row r="141" spans="1:17">
      <c r="A141" s="2" t="s">
        <v>196</v>
      </c>
      <c r="B141" s="4">
        <v>46293</v>
      </c>
      <c r="C141" s="4">
        <v>46301</v>
      </c>
      <c r="D141" s="2" t="s">
        <v>25</v>
      </c>
      <c r="E141" s="2" t="s">
        <v>35</v>
      </c>
      <c r="F141" s="2" t="s">
        <v>38</v>
      </c>
      <c r="G141" s="2" t="s">
        <v>32</v>
      </c>
      <c r="H141" s="2" t="s">
        <v>33</v>
      </c>
      <c r="I141" s="2"/>
      <c r="K141" s="6">
        <f>_xlfn.XLOOKUP(Cases_Tbl[[#This Row],[Priority]],SLA_Table!$A$2:$A$4,SLA_Table!$B$2:$B$4)</f>
        <v>10</v>
      </c>
      <c r="L141" s="6">
        <f t="shared" si="10"/>
        <v>8</v>
      </c>
      <c r="M141" s="6" t="str">
        <f t="shared" si="11"/>
        <v>Yes</v>
      </c>
      <c r="N141" s="11">
        <f t="shared" si="12"/>
        <v>46293</v>
      </c>
      <c r="O141" s="9">
        <f t="shared" si="13"/>
        <v>46300</v>
      </c>
      <c r="P141" s="28" t="str">
        <f>IF(D141="Open",KPI!$K$13-B141,"")</f>
        <v/>
      </c>
      <c r="Q141" s="24" t="str">
        <f t="shared" si="14"/>
        <v/>
      </c>
    </row>
    <row r="142" spans="1:17">
      <c r="A142" s="2" t="s">
        <v>197</v>
      </c>
      <c r="B142" s="4">
        <v>46293</v>
      </c>
      <c r="C142" s="4">
        <v>46297</v>
      </c>
      <c r="D142" s="2" t="s">
        <v>25</v>
      </c>
      <c r="E142" s="2" t="s">
        <v>26</v>
      </c>
      <c r="F142" s="2" t="s">
        <v>47</v>
      </c>
      <c r="G142" s="2" t="s">
        <v>39</v>
      </c>
      <c r="H142" t="s">
        <v>386</v>
      </c>
      <c r="I142" s="2"/>
      <c r="K142" s="6">
        <f>_xlfn.XLOOKUP(Cases_Tbl[[#This Row],[Priority]],SLA_Table!$A$2:$A$4,SLA_Table!$B$2:$B$4)</f>
        <v>5</v>
      </c>
      <c r="L142" s="6">
        <f t="shared" si="10"/>
        <v>4</v>
      </c>
      <c r="M142" s="6" t="str">
        <f t="shared" si="11"/>
        <v>Yes</v>
      </c>
      <c r="N142" s="11">
        <f t="shared" si="12"/>
        <v>46293</v>
      </c>
      <c r="O142" s="9">
        <f t="shared" si="13"/>
        <v>46293</v>
      </c>
      <c r="P142" s="28" t="str">
        <f>IF(D142="Open",KPI!$K$13-B142,"")</f>
        <v/>
      </c>
      <c r="Q142" s="24" t="str">
        <f t="shared" si="14"/>
        <v/>
      </c>
    </row>
    <row r="143" spans="1:17">
      <c r="A143" s="2" t="s">
        <v>198</v>
      </c>
      <c r="B143" s="4">
        <v>46293</v>
      </c>
      <c r="C143" s="4">
        <v>46294</v>
      </c>
      <c r="D143" s="2" t="s">
        <v>25</v>
      </c>
      <c r="E143" s="2" t="s">
        <v>43</v>
      </c>
      <c r="F143" s="2" t="s">
        <v>31</v>
      </c>
      <c r="G143" s="2" t="s">
        <v>28</v>
      </c>
      <c r="H143" s="2" t="s">
        <v>36</v>
      </c>
      <c r="I143" s="2"/>
      <c r="K143" s="6">
        <f>_xlfn.XLOOKUP(Cases_Tbl[[#This Row],[Priority]],SLA_Table!$A$2:$A$4,SLA_Table!$B$2:$B$4)</f>
        <v>2</v>
      </c>
      <c r="L143" s="6">
        <f t="shared" si="10"/>
        <v>1</v>
      </c>
      <c r="M143" s="6" t="str">
        <f t="shared" si="11"/>
        <v>Yes</v>
      </c>
      <c r="N143" s="11">
        <f t="shared" si="12"/>
        <v>46293</v>
      </c>
      <c r="O143" s="9">
        <f t="shared" si="13"/>
        <v>46293</v>
      </c>
      <c r="P143" s="28" t="str">
        <f>IF(D143="Open",KPI!$K$13-B143,"")</f>
        <v/>
      </c>
      <c r="Q143" s="24" t="str">
        <f t="shared" si="14"/>
        <v/>
      </c>
    </row>
    <row r="144" spans="1:17">
      <c r="A144" s="2" t="s">
        <v>199</v>
      </c>
      <c r="B144" s="8">
        <v>46293</v>
      </c>
      <c r="C144" s="4">
        <v>46301</v>
      </c>
      <c r="D144" s="2" t="s">
        <v>25</v>
      </c>
      <c r="E144" s="2" t="s">
        <v>35</v>
      </c>
      <c r="F144" s="2" t="s">
        <v>31</v>
      </c>
      <c r="G144" s="2" t="s">
        <v>39</v>
      </c>
      <c r="H144" s="2" t="s">
        <v>33</v>
      </c>
      <c r="I144" s="2"/>
      <c r="K144" s="6">
        <f>_xlfn.XLOOKUP(Cases_Tbl[[#This Row],[Priority]],SLA_Table!$A$2:$A$4,SLA_Table!$B$2:$B$4)</f>
        <v>10</v>
      </c>
      <c r="L144" s="6">
        <f t="shared" si="10"/>
        <v>8</v>
      </c>
      <c r="M144" s="6" t="str">
        <f t="shared" si="11"/>
        <v>Yes</v>
      </c>
      <c r="N144" s="11">
        <f t="shared" si="12"/>
        <v>46293</v>
      </c>
      <c r="O144" s="9">
        <f t="shared" si="13"/>
        <v>46300</v>
      </c>
      <c r="P144" s="28" t="str">
        <f>IF(D144="Open",KPI!$K$13-B144,"")</f>
        <v/>
      </c>
      <c r="Q144" s="24" t="str">
        <f t="shared" si="14"/>
        <v/>
      </c>
    </row>
    <row r="145" spans="1:17">
      <c r="A145" s="2" t="s">
        <v>201</v>
      </c>
      <c r="B145" s="4">
        <v>46293</v>
      </c>
      <c r="C145" s="4">
        <v>46294</v>
      </c>
      <c r="D145" s="2" t="s">
        <v>25</v>
      </c>
      <c r="E145" s="2" t="s">
        <v>43</v>
      </c>
      <c r="F145" s="2" t="s">
        <v>47</v>
      </c>
      <c r="G145" s="2" t="s">
        <v>28</v>
      </c>
      <c r="H145" s="2" t="s">
        <v>36</v>
      </c>
      <c r="I145" s="2"/>
      <c r="K145" s="6">
        <f>_xlfn.XLOOKUP(Cases_Tbl[[#This Row],[Priority]],SLA_Table!$A$2:$A$4,SLA_Table!$B$2:$B$4)</f>
        <v>2</v>
      </c>
      <c r="L145" s="6">
        <f t="shared" si="10"/>
        <v>1</v>
      </c>
      <c r="M145" s="6" t="str">
        <f t="shared" si="11"/>
        <v>Yes</v>
      </c>
      <c r="N145" s="11">
        <f t="shared" si="12"/>
        <v>46293</v>
      </c>
      <c r="O145" s="9">
        <f t="shared" si="13"/>
        <v>46293</v>
      </c>
      <c r="P145" s="28" t="str">
        <f>IF(D145="Open",KPI!$K$13-B145,"")</f>
        <v/>
      </c>
      <c r="Q145" s="24" t="str">
        <f t="shared" si="14"/>
        <v/>
      </c>
    </row>
    <row r="146" spans="1:17">
      <c r="A146" s="2" t="s">
        <v>202</v>
      </c>
      <c r="B146" s="4">
        <v>46293</v>
      </c>
      <c r="C146" s="4">
        <v>46297</v>
      </c>
      <c r="D146" s="2" t="s">
        <v>25</v>
      </c>
      <c r="E146" s="2" t="s">
        <v>26</v>
      </c>
      <c r="F146" s="2" t="s">
        <v>31</v>
      </c>
      <c r="G146" s="2" t="s">
        <v>28</v>
      </c>
      <c r="H146" s="2" t="s">
        <v>54</v>
      </c>
      <c r="I146" s="2"/>
      <c r="K146" s="6">
        <f>_xlfn.XLOOKUP(Cases_Tbl[[#This Row],[Priority]],SLA_Table!$A$2:$A$4,SLA_Table!$B$2:$B$4)</f>
        <v>5</v>
      </c>
      <c r="L146" s="6">
        <f t="shared" si="10"/>
        <v>4</v>
      </c>
      <c r="M146" s="6" t="str">
        <f t="shared" si="11"/>
        <v>Yes</v>
      </c>
      <c r="N146" s="11">
        <f t="shared" si="12"/>
        <v>46293</v>
      </c>
      <c r="O146" s="9">
        <f t="shared" si="13"/>
        <v>46293</v>
      </c>
      <c r="P146" s="28" t="str">
        <f>IF(D146="Open",KPI!$K$13-B146,"")</f>
        <v/>
      </c>
      <c r="Q146" s="24" t="str">
        <f t="shared" si="14"/>
        <v/>
      </c>
    </row>
    <row r="147" spans="1:17">
      <c r="A147" s="2" t="s">
        <v>203</v>
      </c>
      <c r="B147" s="4">
        <v>46293</v>
      </c>
      <c r="C147" s="4">
        <v>46297</v>
      </c>
      <c r="D147" s="2" t="s">
        <v>25</v>
      </c>
      <c r="E147" s="2" t="s">
        <v>26</v>
      </c>
      <c r="F147" s="2" t="s">
        <v>31</v>
      </c>
      <c r="G147" s="2" t="s">
        <v>28</v>
      </c>
      <c r="H147" s="2" t="s">
        <v>48</v>
      </c>
      <c r="I147" s="2"/>
      <c r="K147" s="6">
        <f>_xlfn.XLOOKUP(Cases_Tbl[[#This Row],[Priority]],SLA_Table!$A$2:$A$4,SLA_Table!$B$2:$B$4)</f>
        <v>5</v>
      </c>
      <c r="L147" s="6">
        <f t="shared" si="10"/>
        <v>4</v>
      </c>
      <c r="M147" s="6" t="str">
        <f t="shared" si="11"/>
        <v>Yes</v>
      </c>
      <c r="N147" s="11">
        <f t="shared" si="12"/>
        <v>46293</v>
      </c>
      <c r="O147" s="9">
        <f t="shared" si="13"/>
        <v>46293</v>
      </c>
      <c r="P147" s="28" t="str">
        <f>IF(D147="Open",KPI!$K$13-B147,"")</f>
        <v/>
      </c>
      <c r="Q147" s="24" t="str">
        <f t="shared" si="14"/>
        <v/>
      </c>
    </row>
    <row r="148" spans="1:17">
      <c r="A148" s="2" t="s">
        <v>204</v>
      </c>
      <c r="B148" s="4">
        <v>46294</v>
      </c>
      <c r="C148" s="4">
        <v>46296</v>
      </c>
      <c r="D148" s="2" t="s">
        <v>25</v>
      </c>
      <c r="E148" s="2" t="s">
        <v>43</v>
      </c>
      <c r="F148" s="2" t="s">
        <v>47</v>
      </c>
      <c r="G148" s="2" t="s">
        <v>28</v>
      </c>
      <c r="H148" s="2" t="s">
        <v>36</v>
      </c>
      <c r="I148" s="2"/>
      <c r="K148" s="6">
        <f>_xlfn.XLOOKUP(Cases_Tbl[[#This Row],[Priority]],SLA_Table!$A$2:$A$4,SLA_Table!$B$2:$B$4)</f>
        <v>2</v>
      </c>
      <c r="L148" s="6">
        <f t="shared" si="10"/>
        <v>2</v>
      </c>
      <c r="M148" s="6" t="str">
        <f t="shared" si="11"/>
        <v>Yes</v>
      </c>
      <c r="N148" s="11">
        <f t="shared" si="12"/>
        <v>46293</v>
      </c>
      <c r="O148" s="9">
        <f t="shared" si="13"/>
        <v>46293</v>
      </c>
      <c r="P148" s="28" t="str">
        <f>IF(D148="Open",KPI!$K$13-B148,"")</f>
        <v/>
      </c>
      <c r="Q148" s="24" t="str">
        <f t="shared" si="14"/>
        <v/>
      </c>
    </row>
    <row r="149" spans="1:17">
      <c r="A149" s="2" t="s">
        <v>205</v>
      </c>
      <c r="B149" s="8">
        <v>46294</v>
      </c>
      <c r="C149" s="4">
        <v>46296</v>
      </c>
      <c r="D149" s="2" t="s">
        <v>25</v>
      </c>
      <c r="E149" s="2" t="s">
        <v>26</v>
      </c>
      <c r="F149" s="2" t="s">
        <v>38</v>
      </c>
      <c r="G149" s="2" t="s">
        <v>32</v>
      </c>
      <c r="H149" s="2" t="s">
        <v>36</v>
      </c>
      <c r="I149" s="2"/>
      <c r="K149" s="6">
        <f>_xlfn.XLOOKUP(Cases_Tbl[[#This Row],[Priority]],SLA_Table!$A$2:$A$4,SLA_Table!$B$2:$B$4)</f>
        <v>5</v>
      </c>
      <c r="L149" s="6">
        <f t="shared" si="10"/>
        <v>2</v>
      </c>
      <c r="M149" s="6" t="str">
        <f t="shared" si="11"/>
        <v>Yes</v>
      </c>
      <c r="N149" s="11">
        <f t="shared" si="12"/>
        <v>46293</v>
      </c>
      <c r="O149" s="9">
        <f t="shared" si="13"/>
        <v>46293</v>
      </c>
      <c r="P149" s="28" t="str">
        <f>IF(D149="Open",KPI!$K$13-B149,"")</f>
        <v/>
      </c>
      <c r="Q149" s="24" t="str">
        <f t="shared" si="14"/>
        <v/>
      </c>
    </row>
    <row r="150" spans="1:17">
      <c r="A150" s="2" t="s">
        <v>207</v>
      </c>
      <c r="B150" s="4">
        <v>46294</v>
      </c>
      <c r="C150" s="4">
        <v>46301</v>
      </c>
      <c r="D150" s="2" t="s">
        <v>25</v>
      </c>
      <c r="E150" s="2" t="s">
        <v>26</v>
      </c>
      <c r="F150" s="2" t="s">
        <v>31</v>
      </c>
      <c r="G150" s="2" t="s">
        <v>28</v>
      </c>
      <c r="H150" s="6" t="s">
        <v>391</v>
      </c>
      <c r="I150" s="2" t="s">
        <v>55</v>
      </c>
      <c r="K150" s="6">
        <f>_xlfn.XLOOKUP(Cases_Tbl[[#This Row],[Priority]],SLA_Table!$A$2:$A$4,SLA_Table!$B$2:$B$4)</f>
        <v>5</v>
      </c>
      <c r="L150" s="6">
        <f t="shared" si="10"/>
        <v>7</v>
      </c>
      <c r="M150" s="6" t="str">
        <f t="shared" si="11"/>
        <v>No</v>
      </c>
      <c r="N150" s="11">
        <f t="shared" si="12"/>
        <v>46293</v>
      </c>
      <c r="O150" s="9">
        <f t="shared" si="13"/>
        <v>46300</v>
      </c>
      <c r="P150" s="28" t="str">
        <f>IF(D150="Open",KPI!$K$13-B150,"")</f>
        <v/>
      </c>
      <c r="Q150" s="24" t="str">
        <f t="shared" si="14"/>
        <v/>
      </c>
    </row>
    <row r="151" spans="1:17">
      <c r="A151" s="2" t="s">
        <v>209</v>
      </c>
      <c r="B151" s="4">
        <v>46294</v>
      </c>
      <c r="C151" s="4">
        <v>46304</v>
      </c>
      <c r="D151" s="2" t="s">
        <v>25</v>
      </c>
      <c r="E151" s="2" t="s">
        <v>35</v>
      </c>
      <c r="F151" s="2" t="s">
        <v>41</v>
      </c>
      <c r="G151" s="2" t="s">
        <v>28</v>
      </c>
      <c r="H151" s="2" t="s">
        <v>54</v>
      </c>
      <c r="I151" s="2"/>
      <c r="K151" s="6">
        <f>_xlfn.XLOOKUP(Cases_Tbl[[#This Row],[Priority]],SLA_Table!$A$2:$A$4,SLA_Table!$B$2:$B$4)</f>
        <v>10</v>
      </c>
      <c r="L151" s="6">
        <f t="shared" si="10"/>
        <v>10</v>
      </c>
      <c r="M151" s="6" t="str">
        <f t="shared" si="11"/>
        <v>Yes</v>
      </c>
      <c r="N151" s="11">
        <f t="shared" si="12"/>
        <v>46293</v>
      </c>
      <c r="O151" s="9">
        <f t="shared" si="13"/>
        <v>46300</v>
      </c>
      <c r="P151" s="28" t="str">
        <f>IF(D151="Open",KPI!$K$13-B151,"")</f>
        <v/>
      </c>
      <c r="Q151" s="24" t="str">
        <f t="shared" si="14"/>
        <v/>
      </c>
    </row>
    <row r="152" spans="1:17">
      <c r="A152" s="2" t="s">
        <v>210</v>
      </c>
      <c r="B152" s="4">
        <v>46294</v>
      </c>
      <c r="C152" s="4">
        <v>46294</v>
      </c>
      <c r="D152" s="2" t="s">
        <v>25</v>
      </c>
      <c r="E152" s="2" t="s">
        <v>43</v>
      </c>
      <c r="F152" s="2" t="s">
        <v>31</v>
      </c>
      <c r="G152" s="2" t="s">
        <v>32</v>
      </c>
      <c r="H152" s="2" t="s">
        <v>54</v>
      </c>
      <c r="I152" s="2"/>
      <c r="K152" s="6">
        <f>_xlfn.XLOOKUP(Cases_Tbl[[#This Row],[Priority]],SLA_Table!$A$2:$A$4,SLA_Table!$B$2:$B$4)</f>
        <v>2</v>
      </c>
      <c r="L152" s="6">
        <f t="shared" si="10"/>
        <v>0</v>
      </c>
      <c r="M152" s="6" t="str">
        <f t="shared" si="11"/>
        <v>Yes</v>
      </c>
      <c r="N152" s="11">
        <f t="shared" si="12"/>
        <v>46293</v>
      </c>
      <c r="O152" s="9">
        <f t="shared" si="13"/>
        <v>46293</v>
      </c>
      <c r="P152" s="28" t="str">
        <f>IF(D152="Open",KPI!$K$13-B152,"")</f>
        <v/>
      </c>
      <c r="Q152" s="24" t="str">
        <f t="shared" si="14"/>
        <v/>
      </c>
    </row>
    <row r="153" spans="1:17">
      <c r="A153" s="2" t="s">
        <v>211</v>
      </c>
      <c r="B153" s="4">
        <v>46295</v>
      </c>
      <c r="C153" s="4">
        <v>46296</v>
      </c>
      <c r="D153" s="2" t="s">
        <v>25</v>
      </c>
      <c r="E153" s="2" t="s">
        <v>43</v>
      </c>
      <c r="F153" s="2" t="s">
        <v>41</v>
      </c>
      <c r="G153" s="2" t="s">
        <v>32</v>
      </c>
      <c r="H153" s="2" t="s">
        <v>33</v>
      </c>
      <c r="I153" s="2"/>
      <c r="K153" s="6">
        <f>_xlfn.XLOOKUP(Cases_Tbl[[#This Row],[Priority]],SLA_Table!$A$2:$A$4,SLA_Table!$B$2:$B$4)</f>
        <v>2</v>
      </c>
      <c r="L153" s="6">
        <f t="shared" si="10"/>
        <v>1</v>
      </c>
      <c r="M153" s="6" t="str">
        <f t="shared" si="11"/>
        <v>Yes</v>
      </c>
      <c r="N153" s="11">
        <f t="shared" si="12"/>
        <v>46293</v>
      </c>
      <c r="O153" s="9">
        <f t="shared" si="13"/>
        <v>46293</v>
      </c>
      <c r="P153" s="28" t="str">
        <f>IF(D153="Open",KPI!$K$13-B153,"")</f>
        <v/>
      </c>
      <c r="Q153" s="24" t="str">
        <f t="shared" si="14"/>
        <v/>
      </c>
    </row>
    <row r="154" spans="1:17">
      <c r="A154" s="2" t="s">
        <v>212</v>
      </c>
      <c r="B154" s="8">
        <v>46295</v>
      </c>
      <c r="C154" s="4">
        <v>46299</v>
      </c>
      <c r="D154" s="2" t="s">
        <v>25</v>
      </c>
      <c r="E154" s="2" t="s">
        <v>26</v>
      </c>
      <c r="F154" s="2" t="s">
        <v>47</v>
      </c>
      <c r="G154" s="2" t="s">
        <v>28</v>
      </c>
      <c r="H154" s="2" t="s">
        <v>29</v>
      </c>
      <c r="I154" s="2"/>
      <c r="K154" s="6">
        <f>_xlfn.XLOOKUP(Cases_Tbl[[#This Row],[Priority]],SLA_Table!$A$2:$A$4,SLA_Table!$B$2:$B$4)</f>
        <v>5</v>
      </c>
      <c r="L154" s="6">
        <f t="shared" si="10"/>
        <v>4</v>
      </c>
      <c r="M154" s="6" t="str">
        <f t="shared" si="11"/>
        <v>Yes</v>
      </c>
      <c r="N154" s="11">
        <f t="shared" si="12"/>
        <v>46293</v>
      </c>
      <c r="O154" s="9">
        <f t="shared" si="13"/>
        <v>46293</v>
      </c>
      <c r="P154" s="28" t="str">
        <f>IF(D154="Open",KPI!$K$13-B154,"")</f>
        <v/>
      </c>
      <c r="Q154" s="24" t="str">
        <f t="shared" si="14"/>
        <v/>
      </c>
    </row>
    <row r="155" spans="1:17">
      <c r="A155" s="2" t="s">
        <v>214</v>
      </c>
      <c r="B155" s="4">
        <v>46295</v>
      </c>
      <c r="C155" s="4">
        <v>46303</v>
      </c>
      <c r="D155" s="2" t="s">
        <v>25</v>
      </c>
      <c r="E155" s="2" t="s">
        <v>26</v>
      </c>
      <c r="F155" s="2" t="s">
        <v>31</v>
      </c>
      <c r="G155" s="2" t="s">
        <v>32</v>
      </c>
      <c r="H155" s="2" t="s">
        <v>48</v>
      </c>
      <c r="I155" s="6" t="s">
        <v>396</v>
      </c>
      <c r="K155" s="6">
        <f>_xlfn.XLOOKUP(Cases_Tbl[[#This Row],[Priority]],SLA_Table!$A$2:$A$4,SLA_Table!$B$2:$B$4)</f>
        <v>5</v>
      </c>
      <c r="L155" s="6">
        <f t="shared" si="10"/>
        <v>8</v>
      </c>
      <c r="M155" s="6" t="str">
        <f t="shared" si="11"/>
        <v>No</v>
      </c>
      <c r="N155" s="11">
        <f t="shared" si="12"/>
        <v>46293</v>
      </c>
      <c r="O155" s="9">
        <f t="shared" si="13"/>
        <v>46300</v>
      </c>
      <c r="P155" s="28" t="str">
        <f>IF(D155="Open",KPI!$K$13-B155,"")</f>
        <v/>
      </c>
      <c r="Q155" s="24" t="str">
        <f t="shared" si="14"/>
        <v/>
      </c>
    </row>
    <row r="156" spans="1:17">
      <c r="A156" s="2" t="s">
        <v>215</v>
      </c>
      <c r="B156" s="4">
        <v>46295</v>
      </c>
      <c r="C156" s="4">
        <v>46307</v>
      </c>
      <c r="D156" s="2" t="s">
        <v>25</v>
      </c>
      <c r="E156" s="2" t="s">
        <v>35</v>
      </c>
      <c r="F156" s="2" t="s">
        <v>38</v>
      </c>
      <c r="G156" s="2" t="s">
        <v>28</v>
      </c>
      <c r="H156" s="2" t="s">
        <v>36</v>
      </c>
      <c r="I156" s="2" t="s">
        <v>60</v>
      </c>
      <c r="K156" s="6">
        <f>_xlfn.XLOOKUP(Cases_Tbl[[#This Row],[Priority]],SLA_Table!$A$2:$A$4,SLA_Table!$B$2:$B$4)</f>
        <v>10</v>
      </c>
      <c r="L156" s="6">
        <f t="shared" si="10"/>
        <v>12</v>
      </c>
      <c r="M156" s="6" t="str">
        <f t="shared" si="11"/>
        <v>No</v>
      </c>
      <c r="N156" s="11">
        <f t="shared" si="12"/>
        <v>46293</v>
      </c>
      <c r="O156" s="9">
        <f t="shared" si="13"/>
        <v>46307</v>
      </c>
      <c r="P156" s="28" t="str">
        <f>IF(D156="Open",KPI!$K$13-B156,"")</f>
        <v/>
      </c>
      <c r="Q156" s="24" t="str">
        <f t="shared" si="14"/>
        <v/>
      </c>
    </row>
    <row r="157" spans="1:17">
      <c r="A157" s="2" t="s">
        <v>216</v>
      </c>
      <c r="B157" s="4">
        <v>46296</v>
      </c>
      <c r="C157" s="4">
        <v>46297</v>
      </c>
      <c r="D157" s="2" t="s">
        <v>25</v>
      </c>
      <c r="E157" s="2" t="s">
        <v>43</v>
      </c>
      <c r="F157" s="2" t="s">
        <v>27</v>
      </c>
      <c r="G157" s="2" t="s">
        <v>32</v>
      </c>
      <c r="H157" s="2" t="s">
        <v>44</v>
      </c>
      <c r="I157" s="2"/>
      <c r="K157" s="6">
        <f>_xlfn.XLOOKUP(Cases_Tbl[[#This Row],[Priority]],SLA_Table!$A$2:$A$4,SLA_Table!$B$2:$B$4)</f>
        <v>2</v>
      </c>
      <c r="L157" s="6">
        <f t="shared" si="10"/>
        <v>1</v>
      </c>
      <c r="M157" s="6" t="str">
        <f t="shared" si="11"/>
        <v>Yes</v>
      </c>
      <c r="N157" s="11">
        <f t="shared" si="12"/>
        <v>46293</v>
      </c>
      <c r="O157" s="9">
        <f t="shared" si="13"/>
        <v>46293</v>
      </c>
      <c r="P157" s="28" t="str">
        <f>IF(D157="Open",KPI!$K$13-B157,"")</f>
        <v/>
      </c>
      <c r="Q157" s="24" t="str">
        <f t="shared" si="14"/>
        <v/>
      </c>
    </row>
    <row r="158" spans="1:17">
      <c r="A158" s="2" t="s">
        <v>217</v>
      </c>
      <c r="B158" s="4">
        <v>46296</v>
      </c>
      <c r="C158" s="4">
        <v>46298</v>
      </c>
      <c r="D158" s="2" t="s">
        <v>25</v>
      </c>
      <c r="E158" s="2" t="s">
        <v>26</v>
      </c>
      <c r="F158" s="2" t="s">
        <v>27</v>
      </c>
      <c r="G158" s="2" t="s">
        <v>39</v>
      </c>
      <c r="H158" s="2" t="s">
        <v>44</v>
      </c>
      <c r="I158" s="2"/>
      <c r="K158" s="6">
        <f>_xlfn.XLOOKUP(Cases_Tbl[[#This Row],[Priority]],SLA_Table!$A$2:$A$4,SLA_Table!$B$2:$B$4)</f>
        <v>5</v>
      </c>
      <c r="L158" s="6">
        <f t="shared" si="10"/>
        <v>2</v>
      </c>
      <c r="M158" s="6" t="str">
        <f t="shared" si="11"/>
        <v>Yes</v>
      </c>
      <c r="N158" s="11">
        <f t="shared" si="12"/>
        <v>46293</v>
      </c>
      <c r="O158" s="9">
        <f t="shared" si="13"/>
        <v>46293</v>
      </c>
      <c r="P158" s="28" t="str">
        <f>IF(D158="Open",KPI!$K$13-B158,"")</f>
        <v/>
      </c>
      <c r="Q158" s="24" t="str">
        <f t="shared" si="14"/>
        <v/>
      </c>
    </row>
    <row r="159" spans="1:17">
      <c r="A159" s="2" t="s">
        <v>218</v>
      </c>
      <c r="B159" s="4">
        <v>46296</v>
      </c>
      <c r="C159" s="4">
        <v>46309</v>
      </c>
      <c r="D159" s="2" t="s">
        <v>25</v>
      </c>
      <c r="E159" s="2" t="s">
        <v>35</v>
      </c>
      <c r="F159" s="2" t="s">
        <v>31</v>
      </c>
      <c r="G159" s="2" t="s">
        <v>28</v>
      </c>
      <c r="H159" s="2" t="s">
        <v>33</v>
      </c>
      <c r="I159" s="2" t="s">
        <v>55</v>
      </c>
      <c r="K159" s="6">
        <f>_xlfn.XLOOKUP(Cases_Tbl[[#This Row],[Priority]],SLA_Table!$A$2:$A$4,SLA_Table!$B$2:$B$4)</f>
        <v>10</v>
      </c>
      <c r="L159" s="6">
        <f t="shared" si="10"/>
        <v>13</v>
      </c>
      <c r="M159" s="6" t="str">
        <f t="shared" si="11"/>
        <v>No</v>
      </c>
      <c r="N159" s="11">
        <f t="shared" si="12"/>
        <v>46293</v>
      </c>
      <c r="O159" s="9">
        <f t="shared" si="13"/>
        <v>46307</v>
      </c>
      <c r="P159" s="28" t="str">
        <f>IF(D159="Open",KPI!$K$13-B159,"")</f>
        <v/>
      </c>
      <c r="Q159" s="24" t="str">
        <f t="shared" si="14"/>
        <v/>
      </c>
    </row>
    <row r="160" spans="1:17">
      <c r="A160" s="2" t="s">
        <v>219</v>
      </c>
      <c r="B160" s="4">
        <v>46296</v>
      </c>
      <c r="C160" s="4">
        <v>46293</v>
      </c>
      <c r="D160" s="2" t="s">
        <v>25</v>
      </c>
      <c r="E160" s="2" t="s">
        <v>43</v>
      </c>
      <c r="F160" s="2" t="s">
        <v>27</v>
      </c>
      <c r="G160" s="2" t="s">
        <v>28</v>
      </c>
      <c r="H160" s="2" t="s">
        <v>29</v>
      </c>
      <c r="I160" s="2"/>
      <c r="J160" t="s">
        <v>407</v>
      </c>
      <c r="K160" s="6">
        <f>_xlfn.XLOOKUP(Cases_Tbl[[#This Row],[Priority]],SLA_Table!$A$2:$A$4,SLA_Table!$B$2:$B$4)</f>
        <v>2</v>
      </c>
      <c r="L160" s="6" t="str">
        <f t="shared" si="10"/>
        <v/>
      </c>
      <c r="M160" s="6" t="str">
        <f t="shared" si="11"/>
        <v/>
      </c>
      <c r="N160" s="11">
        <f t="shared" si="12"/>
        <v>46293</v>
      </c>
      <c r="O160" s="9">
        <f t="shared" si="13"/>
        <v>46293</v>
      </c>
      <c r="P160" s="28" t="str">
        <f>IF(D160="Open",KPI!$K$13-B160,"")</f>
        <v/>
      </c>
      <c r="Q160" s="24" t="str">
        <f t="shared" si="14"/>
        <v/>
      </c>
    </row>
    <row r="161" spans="1:17">
      <c r="A161" s="2" t="s">
        <v>220</v>
      </c>
      <c r="B161" s="4">
        <v>46296</v>
      </c>
      <c r="C161" s="4">
        <v>46303</v>
      </c>
      <c r="D161" s="2" t="s">
        <v>25</v>
      </c>
      <c r="E161" s="2" t="s">
        <v>35</v>
      </c>
      <c r="F161" s="2" t="s">
        <v>27</v>
      </c>
      <c r="G161" s="2" t="s">
        <v>28</v>
      </c>
      <c r="H161" s="2" t="s">
        <v>36</v>
      </c>
      <c r="I161" s="2"/>
      <c r="K161" s="6">
        <f>_xlfn.XLOOKUP(Cases_Tbl[[#This Row],[Priority]],SLA_Table!$A$2:$A$4,SLA_Table!$B$2:$B$4)</f>
        <v>10</v>
      </c>
      <c r="L161" s="6">
        <f t="shared" si="10"/>
        <v>7</v>
      </c>
      <c r="M161" s="6" t="str">
        <f t="shared" si="11"/>
        <v>Yes</v>
      </c>
      <c r="N161" s="11">
        <f t="shared" si="12"/>
        <v>46293</v>
      </c>
      <c r="O161" s="9">
        <f t="shared" si="13"/>
        <v>46300</v>
      </c>
      <c r="P161" s="28" t="str">
        <f>IF(D161="Open",KPI!$K$13-B161,"")</f>
        <v/>
      </c>
      <c r="Q161" s="24" t="str">
        <f t="shared" si="14"/>
        <v/>
      </c>
    </row>
    <row r="162" spans="1:17">
      <c r="A162" s="2" t="s">
        <v>221</v>
      </c>
      <c r="B162" s="4">
        <v>46296</v>
      </c>
      <c r="C162" s="4">
        <v>46311</v>
      </c>
      <c r="D162" s="2" t="s">
        <v>25</v>
      </c>
      <c r="E162" s="2" t="s">
        <v>35</v>
      </c>
      <c r="F162" s="2" t="s">
        <v>47</v>
      </c>
      <c r="G162" s="2" t="s">
        <v>39</v>
      </c>
      <c r="H162" s="2" t="s">
        <v>44</v>
      </c>
      <c r="I162" s="6" t="s">
        <v>396</v>
      </c>
      <c r="K162" s="6">
        <f>_xlfn.XLOOKUP(Cases_Tbl[[#This Row],[Priority]],SLA_Table!$A$2:$A$4,SLA_Table!$B$2:$B$4)</f>
        <v>10</v>
      </c>
      <c r="L162" s="6">
        <f t="shared" si="10"/>
        <v>15</v>
      </c>
      <c r="M162" s="6" t="str">
        <f t="shared" si="11"/>
        <v>No</v>
      </c>
      <c r="N162" s="11">
        <f t="shared" si="12"/>
        <v>46293</v>
      </c>
      <c r="O162" s="9">
        <f t="shared" si="13"/>
        <v>46307</v>
      </c>
      <c r="P162" s="28" t="str">
        <f>IF(D162="Open",KPI!$K$13-B162,"")</f>
        <v/>
      </c>
      <c r="Q162" s="24" t="str">
        <f t="shared" si="14"/>
        <v/>
      </c>
    </row>
    <row r="163" spans="1:17">
      <c r="A163" s="2" t="s">
        <v>222</v>
      </c>
      <c r="B163" s="4">
        <v>46296</v>
      </c>
      <c r="C163" s="4">
        <v>46297</v>
      </c>
      <c r="D163" s="2" t="s">
        <v>25</v>
      </c>
      <c r="E163" s="2" t="s">
        <v>26</v>
      </c>
      <c r="F163" s="2" t="s">
        <v>38</v>
      </c>
      <c r="G163" s="2" t="s">
        <v>28</v>
      </c>
      <c r="H163" s="2" t="s">
        <v>54</v>
      </c>
      <c r="I163" s="2"/>
      <c r="K163" s="6">
        <f>_xlfn.XLOOKUP(Cases_Tbl[[#This Row],[Priority]],SLA_Table!$A$2:$A$4,SLA_Table!$B$2:$B$4)</f>
        <v>5</v>
      </c>
      <c r="L163" s="6">
        <f t="shared" si="10"/>
        <v>1</v>
      </c>
      <c r="M163" s="6" t="str">
        <f t="shared" si="11"/>
        <v>Yes</v>
      </c>
      <c r="N163" s="11">
        <f t="shared" si="12"/>
        <v>46293</v>
      </c>
      <c r="O163" s="9">
        <f t="shared" si="13"/>
        <v>46293</v>
      </c>
      <c r="P163" s="28" t="str">
        <f>IF(D163="Open",KPI!$K$13-B163,"")</f>
        <v/>
      </c>
      <c r="Q163" s="24" t="str">
        <f t="shared" si="14"/>
        <v/>
      </c>
    </row>
    <row r="164" spans="1:17">
      <c r="A164" s="2" t="s">
        <v>223</v>
      </c>
      <c r="B164" s="4">
        <v>46297</v>
      </c>
      <c r="C164" s="4">
        <v>46299</v>
      </c>
      <c r="D164" s="2" t="s">
        <v>25</v>
      </c>
      <c r="E164" s="2" t="s">
        <v>26</v>
      </c>
      <c r="F164" s="2" t="s">
        <v>27</v>
      </c>
      <c r="G164" s="2" t="s">
        <v>39</v>
      </c>
      <c r="H164" t="s">
        <v>386</v>
      </c>
      <c r="I164" s="2"/>
      <c r="K164" s="6">
        <f>_xlfn.XLOOKUP(Cases_Tbl[[#This Row],[Priority]],SLA_Table!$A$2:$A$4,SLA_Table!$B$2:$B$4)</f>
        <v>5</v>
      </c>
      <c r="L164" s="6">
        <f t="shared" si="10"/>
        <v>2</v>
      </c>
      <c r="M164" s="6" t="str">
        <f t="shared" si="11"/>
        <v>Yes</v>
      </c>
      <c r="N164" s="11">
        <f t="shared" si="12"/>
        <v>46293</v>
      </c>
      <c r="O164" s="9">
        <f t="shared" si="13"/>
        <v>46293</v>
      </c>
      <c r="P164" s="28" t="str">
        <f>IF(D164="Open",KPI!$K$13-B164,"")</f>
        <v/>
      </c>
      <c r="Q164" s="24" t="str">
        <f t="shared" si="14"/>
        <v/>
      </c>
    </row>
    <row r="165" spans="1:17">
      <c r="A165" s="2" t="s">
        <v>224</v>
      </c>
      <c r="B165" s="4">
        <v>46297</v>
      </c>
      <c r="C165" s="4">
        <v>46298</v>
      </c>
      <c r="D165" s="2" t="s">
        <v>25</v>
      </c>
      <c r="E165" s="2" t="s">
        <v>26</v>
      </c>
      <c r="F165" s="2" t="s">
        <v>27</v>
      </c>
      <c r="G165" s="2" t="s">
        <v>28</v>
      </c>
      <c r="H165" s="2" t="s">
        <v>54</v>
      </c>
      <c r="I165" s="2"/>
      <c r="K165" s="6">
        <f>_xlfn.XLOOKUP(Cases_Tbl[[#This Row],[Priority]],SLA_Table!$A$2:$A$4,SLA_Table!$B$2:$B$4)</f>
        <v>5</v>
      </c>
      <c r="L165" s="6">
        <f t="shared" si="10"/>
        <v>1</v>
      </c>
      <c r="M165" s="6" t="str">
        <f t="shared" si="11"/>
        <v>Yes</v>
      </c>
      <c r="N165" s="11">
        <f t="shared" si="12"/>
        <v>46293</v>
      </c>
      <c r="O165" s="9">
        <f t="shared" si="13"/>
        <v>46293</v>
      </c>
      <c r="P165" s="28" t="str">
        <f>IF(D165="Open",KPI!$K$13-B165,"")</f>
        <v/>
      </c>
      <c r="Q165" s="24" t="str">
        <f t="shared" si="14"/>
        <v/>
      </c>
    </row>
    <row r="166" spans="1:17">
      <c r="A166" s="2" t="s">
        <v>225</v>
      </c>
      <c r="B166" s="4">
        <v>46297</v>
      </c>
      <c r="C166" s="4">
        <v>46300</v>
      </c>
      <c r="D166" s="2" t="s">
        <v>25</v>
      </c>
      <c r="E166" s="2" t="s">
        <v>26</v>
      </c>
      <c r="F166" s="2" t="s">
        <v>47</v>
      </c>
      <c r="G166" s="2" t="s">
        <v>28</v>
      </c>
      <c r="H166" s="2" t="s">
        <v>29</v>
      </c>
      <c r="I166" s="2"/>
      <c r="K166" s="6">
        <f>_xlfn.XLOOKUP(Cases_Tbl[[#This Row],[Priority]],SLA_Table!$A$2:$A$4,SLA_Table!$B$2:$B$4)</f>
        <v>5</v>
      </c>
      <c r="L166" s="6">
        <f t="shared" si="10"/>
        <v>3</v>
      </c>
      <c r="M166" s="6" t="str">
        <f t="shared" si="11"/>
        <v>Yes</v>
      </c>
      <c r="N166" s="11">
        <f t="shared" si="12"/>
        <v>46293</v>
      </c>
      <c r="O166" s="9">
        <f t="shared" si="13"/>
        <v>46300</v>
      </c>
      <c r="P166" s="28" t="str">
        <f>IF(D166="Open",KPI!$K$13-B166,"")</f>
        <v/>
      </c>
      <c r="Q166" s="24" t="str">
        <f t="shared" si="14"/>
        <v/>
      </c>
    </row>
    <row r="167" spans="1:17">
      <c r="A167" s="2" t="s">
        <v>226</v>
      </c>
      <c r="B167" s="4">
        <v>46297</v>
      </c>
      <c r="C167" s="4">
        <v>46298</v>
      </c>
      <c r="D167" s="2" t="s">
        <v>25</v>
      </c>
      <c r="E167" s="2" t="s">
        <v>26</v>
      </c>
      <c r="F167" s="2" t="s">
        <v>41</v>
      </c>
      <c r="G167" s="2" t="s">
        <v>39</v>
      </c>
      <c r="H167" s="2" t="s">
        <v>48</v>
      </c>
      <c r="I167" s="2"/>
      <c r="K167" s="6">
        <f>_xlfn.XLOOKUP(Cases_Tbl[[#This Row],[Priority]],SLA_Table!$A$2:$A$4,SLA_Table!$B$2:$B$4)</f>
        <v>5</v>
      </c>
      <c r="L167" s="6">
        <f t="shared" si="10"/>
        <v>1</v>
      </c>
      <c r="M167" s="6" t="str">
        <f t="shared" si="11"/>
        <v>Yes</v>
      </c>
      <c r="N167" s="11">
        <f t="shared" si="12"/>
        <v>46293</v>
      </c>
      <c r="O167" s="9">
        <f t="shared" si="13"/>
        <v>46293</v>
      </c>
      <c r="P167" s="28" t="str">
        <f>IF(D167="Open",KPI!$K$13-B167,"")</f>
        <v/>
      </c>
      <c r="Q167" s="24" t="str">
        <f t="shared" si="14"/>
        <v/>
      </c>
    </row>
    <row r="168" spans="1:17">
      <c r="A168" s="2" t="s">
        <v>227</v>
      </c>
      <c r="B168" s="4">
        <v>46297</v>
      </c>
      <c r="C168" s="4">
        <v>46304</v>
      </c>
      <c r="D168" s="2" t="s">
        <v>25</v>
      </c>
      <c r="E168" s="2" t="s">
        <v>26</v>
      </c>
      <c r="F168" s="2" t="s">
        <v>47</v>
      </c>
      <c r="G168" s="2" t="s">
        <v>32</v>
      </c>
      <c r="H168" s="2" t="s">
        <v>33</v>
      </c>
      <c r="I168" s="2" t="s">
        <v>55</v>
      </c>
      <c r="K168" s="6">
        <f>_xlfn.XLOOKUP(Cases_Tbl[[#This Row],[Priority]],SLA_Table!$A$2:$A$4,SLA_Table!$B$2:$B$4)</f>
        <v>5</v>
      </c>
      <c r="L168" s="6">
        <f t="shared" si="10"/>
        <v>7</v>
      </c>
      <c r="M168" s="6" t="str">
        <f t="shared" si="11"/>
        <v>No</v>
      </c>
      <c r="N168" s="11">
        <f t="shared" si="12"/>
        <v>46293</v>
      </c>
      <c r="O168" s="9">
        <f t="shared" si="13"/>
        <v>46300</v>
      </c>
      <c r="P168" s="28" t="str">
        <f>IF(D168="Open",KPI!$K$13-B168,"")</f>
        <v/>
      </c>
      <c r="Q168" s="24" t="str">
        <f t="shared" si="14"/>
        <v/>
      </c>
    </row>
    <row r="169" spans="1:17">
      <c r="A169" s="2" t="s">
        <v>228</v>
      </c>
      <c r="B169" s="4">
        <v>46298</v>
      </c>
      <c r="C169" s="4">
        <v>46299</v>
      </c>
      <c r="D169" s="2" t="s">
        <v>25</v>
      </c>
      <c r="E169" s="2" t="s">
        <v>26</v>
      </c>
      <c r="F169" s="2" t="s">
        <v>47</v>
      </c>
      <c r="G169" s="2" t="s">
        <v>28</v>
      </c>
      <c r="H169" s="2" t="s">
        <v>33</v>
      </c>
      <c r="I169" s="2"/>
      <c r="K169" s="6">
        <f>_xlfn.XLOOKUP(Cases_Tbl[[#This Row],[Priority]],SLA_Table!$A$2:$A$4,SLA_Table!$B$2:$B$4)</f>
        <v>5</v>
      </c>
      <c r="L169" s="6">
        <f t="shared" si="10"/>
        <v>1</v>
      </c>
      <c r="M169" s="6" t="str">
        <f t="shared" si="11"/>
        <v>Yes</v>
      </c>
      <c r="N169" s="11">
        <f t="shared" si="12"/>
        <v>46293</v>
      </c>
      <c r="O169" s="9">
        <f t="shared" si="13"/>
        <v>46293</v>
      </c>
      <c r="P169" s="28" t="str">
        <f>IF(D169="Open",KPI!$K$13-B169,"")</f>
        <v/>
      </c>
      <c r="Q169" s="24" t="str">
        <f t="shared" si="14"/>
        <v/>
      </c>
    </row>
    <row r="170" spans="1:17">
      <c r="A170" s="2" t="s">
        <v>229</v>
      </c>
      <c r="B170" s="4">
        <v>46298</v>
      </c>
      <c r="C170" s="4">
        <v>46308</v>
      </c>
      <c r="D170" s="2" t="s">
        <v>25</v>
      </c>
      <c r="E170" s="2" t="s">
        <v>26</v>
      </c>
      <c r="F170" s="2" t="s">
        <v>31</v>
      </c>
      <c r="G170" s="2" t="s">
        <v>39</v>
      </c>
      <c r="H170" s="2" t="s">
        <v>44</v>
      </c>
      <c r="I170" s="6" t="s">
        <v>396</v>
      </c>
      <c r="K170" s="6">
        <f>_xlfn.XLOOKUP(Cases_Tbl[[#This Row],[Priority]],SLA_Table!$A$2:$A$4,SLA_Table!$B$2:$B$4)</f>
        <v>5</v>
      </c>
      <c r="L170" s="6">
        <f t="shared" si="10"/>
        <v>10</v>
      </c>
      <c r="M170" s="6" t="str">
        <f t="shared" si="11"/>
        <v>No</v>
      </c>
      <c r="N170" s="11">
        <f t="shared" si="12"/>
        <v>46293</v>
      </c>
      <c r="O170" s="9">
        <f t="shared" si="13"/>
        <v>46307</v>
      </c>
      <c r="P170" s="28" t="str">
        <f>IF(D170="Open",KPI!$K$13-B170,"")</f>
        <v/>
      </c>
      <c r="Q170" s="24" t="str">
        <f t="shared" si="14"/>
        <v/>
      </c>
    </row>
    <row r="171" spans="1:17">
      <c r="A171" s="2" t="s">
        <v>230</v>
      </c>
      <c r="B171" s="4">
        <v>46298</v>
      </c>
      <c r="C171" s="4">
        <v>46300</v>
      </c>
      <c r="D171" s="2" t="s">
        <v>25</v>
      </c>
      <c r="E171" s="2" t="s">
        <v>43</v>
      </c>
      <c r="F171" s="2" t="s">
        <v>31</v>
      </c>
      <c r="G171" s="2" t="s">
        <v>32</v>
      </c>
      <c r="H171" s="2" t="s">
        <v>36</v>
      </c>
      <c r="I171" s="2"/>
      <c r="K171" s="6">
        <f>_xlfn.XLOOKUP(Cases_Tbl[[#This Row],[Priority]],SLA_Table!$A$2:$A$4,SLA_Table!$B$2:$B$4)</f>
        <v>2</v>
      </c>
      <c r="L171" s="6">
        <f t="shared" si="10"/>
        <v>2</v>
      </c>
      <c r="M171" s="6" t="str">
        <f t="shared" si="11"/>
        <v>Yes</v>
      </c>
      <c r="N171" s="11">
        <f t="shared" si="12"/>
        <v>46293</v>
      </c>
      <c r="O171" s="9">
        <f t="shared" si="13"/>
        <v>46300</v>
      </c>
      <c r="P171" s="28" t="str">
        <f>IF(D171="Open",KPI!$K$13-B171,"")</f>
        <v/>
      </c>
      <c r="Q171" s="24" t="str">
        <f t="shared" si="14"/>
        <v/>
      </c>
    </row>
    <row r="172" spans="1:17">
      <c r="A172" s="2" t="s">
        <v>231</v>
      </c>
      <c r="B172" s="4">
        <v>46298</v>
      </c>
      <c r="C172" s="4">
        <v>46308</v>
      </c>
      <c r="D172" s="2" t="s">
        <v>25</v>
      </c>
      <c r="E172" s="2" t="s">
        <v>35</v>
      </c>
      <c r="F172" s="2" t="s">
        <v>38</v>
      </c>
      <c r="G172" s="2" t="s">
        <v>39</v>
      </c>
      <c r="H172" s="2" t="s">
        <v>29</v>
      </c>
      <c r="I172" s="2"/>
      <c r="K172" s="6">
        <f>_xlfn.XLOOKUP(Cases_Tbl[[#This Row],[Priority]],SLA_Table!$A$2:$A$4,SLA_Table!$B$2:$B$4)</f>
        <v>10</v>
      </c>
      <c r="L172" s="6">
        <f t="shared" si="10"/>
        <v>10</v>
      </c>
      <c r="M172" s="6" t="str">
        <f t="shared" si="11"/>
        <v>Yes</v>
      </c>
      <c r="N172" s="11">
        <f t="shared" si="12"/>
        <v>46293</v>
      </c>
      <c r="O172" s="9">
        <f t="shared" si="13"/>
        <v>46307</v>
      </c>
      <c r="P172" s="28" t="str">
        <f>IF(D172="Open",KPI!$K$13-B172,"")</f>
        <v/>
      </c>
      <c r="Q172" s="24" t="str">
        <f t="shared" si="14"/>
        <v/>
      </c>
    </row>
    <row r="173" spans="1:17">
      <c r="A173" s="2" t="s">
        <v>232</v>
      </c>
      <c r="B173" s="4">
        <v>46299</v>
      </c>
      <c r="C173" s="4">
        <v>46309</v>
      </c>
      <c r="D173" s="2" t="s">
        <v>25</v>
      </c>
      <c r="E173" s="2" t="s">
        <v>35</v>
      </c>
      <c r="F173" s="2" t="s">
        <v>31</v>
      </c>
      <c r="G173" s="2" t="s">
        <v>32</v>
      </c>
      <c r="H173" s="2" t="s">
        <v>33</v>
      </c>
      <c r="I173" s="2"/>
      <c r="K173" s="6">
        <f>_xlfn.XLOOKUP(Cases_Tbl[[#This Row],[Priority]],SLA_Table!$A$2:$A$4,SLA_Table!$B$2:$B$4)</f>
        <v>10</v>
      </c>
      <c r="L173" s="6">
        <f t="shared" si="10"/>
        <v>10</v>
      </c>
      <c r="M173" s="6" t="str">
        <f t="shared" si="11"/>
        <v>Yes</v>
      </c>
      <c r="N173" s="11">
        <f t="shared" si="12"/>
        <v>46293</v>
      </c>
      <c r="O173" s="9">
        <f t="shared" si="13"/>
        <v>46307</v>
      </c>
      <c r="P173" s="28" t="str">
        <f>IF(D173="Open",KPI!$K$13-B173,"")</f>
        <v/>
      </c>
      <c r="Q173" s="24" t="str">
        <f t="shared" si="14"/>
        <v/>
      </c>
    </row>
    <row r="174" spans="1:17">
      <c r="A174" s="2" t="s">
        <v>233</v>
      </c>
      <c r="B174" s="4">
        <v>46299</v>
      </c>
      <c r="C174" s="4">
        <v>46308</v>
      </c>
      <c r="D174" s="2" t="s">
        <v>25</v>
      </c>
      <c r="E174" s="2" t="s">
        <v>35</v>
      </c>
      <c r="F174" s="2" t="s">
        <v>41</v>
      </c>
      <c r="G174" s="2" t="s">
        <v>28</v>
      </c>
      <c r="H174" s="2" t="s">
        <v>33</v>
      </c>
      <c r="I174" s="2"/>
      <c r="K174" s="6">
        <f>_xlfn.XLOOKUP(Cases_Tbl[[#This Row],[Priority]],SLA_Table!$A$2:$A$4,SLA_Table!$B$2:$B$4)</f>
        <v>10</v>
      </c>
      <c r="L174" s="6">
        <f t="shared" si="10"/>
        <v>9</v>
      </c>
      <c r="M174" s="6" t="str">
        <f t="shared" si="11"/>
        <v>Yes</v>
      </c>
      <c r="N174" s="11">
        <f t="shared" si="12"/>
        <v>46293</v>
      </c>
      <c r="O174" s="9">
        <f t="shared" si="13"/>
        <v>46307</v>
      </c>
      <c r="P174" s="28" t="str">
        <f>IF(D174="Open",KPI!$K$13-B174,"")</f>
        <v/>
      </c>
      <c r="Q174" s="24" t="str">
        <f t="shared" si="14"/>
        <v/>
      </c>
    </row>
    <row r="175" spans="1:17">
      <c r="A175" s="2" t="s">
        <v>234</v>
      </c>
      <c r="B175" s="4">
        <v>46299</v>
      </c>
      <c r="C175" s="4">
        <v>46300</v>
      </c>
      <c r="D175" s="2" t="s">
        <v>25</v>
      </c>
      <c r="E175" s="2" t="s">
        <v>43</v>
      </c>
      <c r="F175" s="2" t="s">
        <v>47</v>
      </c>
      <c r="G175" s="2" t="s">
        <v>32</v>
      </c>
      <c r="H175" s="2" t="s">
        <v>44</v>
      </c>
      <c r="I175" s="2"/>
      <c r="K175" s="6">
        <f>_xlfn.XLOOKUP(Cases_Tbl[[#This Row],[Priority]],SLA_Table!$A$2:$A$4,SLA_Table!$B$2:$B$4)</f>
        <v>2</v>
      </c>
      <c r="L175" s="6">
        <f t="shared" si="10"/>
        <v>1</v>
      </c>
      <c r="M175" s="6" t="str">
        <f t="shared" si="11"/>
        <v>Yes</v>
      </c>
      <c r="N175" s="11">
        <f t="shared" si="12"/>
        <v>46293</v>
      </c>
      <c r="O175" s="9">
        <f t="shared" si="13"/>
        <v>46300</v>
      </c>
      <c r="P175" s="28" t="str">
        <f>IF(D175="Open",KPI!$K$13-B175,"")</f>
        <v/>
      </c>
      <c r="Q175" s="24" t="str">
        <f t="shared" si="14"/>
        <v/>
      </c>
    </row>
    <row r="176" spans="1:17">
      <c r="A176" s="2" t="s">
        <v>235</v>
      </c>
      <c r="B176" s="4">
        <v>46299</v>
      </c>
      <c r="C176" s="4">
        <v>46307</v>
      </c>
      <c r="D176" s="2" t="s">
        <v>25</v>
      </c>
      <c r="E176" s="2" t="s">
        <v>35</v>
      </c>
      <c r="F176" s="2" t="s">
        <v>27</v>
      </c>
      <c r="G176" s="2" t="s">
        <v>39</v>
      </c>
      <c r="H176" s="2" t="s">
        <v>54</v>
      </c>
      <c r="I176" s="2"/>
      <c r="K176" s="6">
        <f>_xlfn.XLOOKUP(Cases_Tbl[[#This Row],[Priority]],SLA_Table!$A$2:$A$4,SLA_Table!$B$2:$B$4)</f>
        <v>10</v>
      </c>
      <c r="L176" s="6">
        <f t="shared" si="10"/>
        <v>8</v>
      </c>
      <c r="M176" s="6" t="str">
        <f t="shared" si="11"/>
        <v>Yes</v>
      </c>
      <c r="N176" s="11">
        <f t="shared" si="12"/>
        <v>46293</v>
      </c>
      <c r="O176" s="9">
        <f t="shared" si="13"/>
        <v>46307</v>
      </c>
      <c r="P176" s="28" t="str">
        <f>IF(D176="Open",KPI!$K$13-B176,"")</f>
        <v/>
      </c>
      <c r="Q176" s="24" t="str">
        <f t="shared" si="14"/>
        <v/>
      </c>
    </row>
    <row r="177" spans="1:17">
      <c r="A177" s="2" t="s">
        <v>236</v>
      </c>
      <c r="B177" s="4">
        <v>46299</v>
      </c>
      <c r="C177" s="4">
        <v>46302</v>
      </c>
      <c r="D177" s="2" t="s">
        <v>25</v>
      </c>
      <c r="E177" s="2" t="s">
        <v>26</v>
      </c>
      <c r="F177" s="2" t="s">
        <v>47</v>
      </c>
      <c r="G177" s="2" t="s">
        <v>32</v>
      </c>
      <c r="H177" s="2" t="s">
        <v>54</v>
      </c>
      <c r="I177" s="2"/>
      <c r="K177" s="6">
        <f>_xlfn.XLOOKUP(Cases_Tbl[[#This Row],[Priority]],SLA_Table!$A$2:$A$4,SLA_Table!$B$2:$B$4)</f>
        <v>5</v>
      </c>
      <c r="L177" s="6">
        <f t="shared" si="10"/>
        <v>3</v>
      </c>
      <c r="M177" s="6" t="str">
        <f t="shared" si="11"/>
        <v>Yes</v>
      </c>
      <c r="N177" s="11">
        <f t="shared" si="12"/>
        <v>46293</v>
      </c>
      <c r="O177" s="9">
        <f t="shared" si="13"/>
        <v>46300</v>
      </c>
      <c r="P177" s="28" t="str">
        <f>IF(D177="Open",KPI!$K$13-B177,"")</f>
        <v/>
      </c>
      <c r="Q177" s="24" t="str">
        <f t="shared" si="14"/>
        <v/>
      </c>
    </row>
    <row r="178" spans="1:17">
      <c r="A178" s="2" t="s">
        <v>237</v>
      </c>
      <c r="B178" s="4">
        <v>46299</v>
      </c>
      <c r="C178" s="4">
        <v>46301</v>
      </c>
      <c r="D178" s="2" t="s">
        <v>25</v>
      </c>
      <c r="E178" s="2" t="s">
        <v>26</v>
      </c>
      <c r="F178" s="2" t="s">
        <v>31</v>
      </c>
      <c r="G178" s="2" t="s">
        <v>32</v>
      </c>
      <c r="H178" s="6" t="s">
        <v>392</v>
      </c>
      <c r="I178" s="2"/>
      <c r="K178" s="6">
        <f>_xlfn.XLOOKUP(Cases_Tbl[[#This Row],[Priority]],SLA_Table!$A$2:$A$4,SLA_Table!$B$2:$B$4)</f>
        <v>5</v>
      </c>
      <c r="L178" s="6">
        <f t="shared" si="10"/>
        <v>2</v>
      </c>
      <c r="M178" s="6" t="str">
        <f t="shared" si="11"/>
        <v>Yes</v>
      </c>
      <c r="N178" s="11">
        <f t="shared" si="12"/>
        <v>46293</v>
      </c>
      <c r="O178" s="9">
        <f t="shared" si="13"/>
        <v>46300</v>
      </c>
      <c r="P178" s="28" t="str">
        <f>IF(D178="Open",KPI!$K$13-B178,"")</f>
        <v/>
      </c>
      <c r="Q178" s="24" t="str">
        <f t="shared" si="14"/>
        <v/>
      </c>
    </row>
    <row r="179" spans="1:17">
      <c r="A179" s="2" t="s">
        <v>239</v>
      </c>
      <c r="B179" s="4">
        <v>46299</v>
      </c>
      <c r="C179" s="4">
        <v>46302</v>
      </c>
      <c r="D179" s="2" t="s">
        <v>25</v>
      </c>
      <c r="E179" s="2" t="s">
        <v>26</v>
      </c>
      <c r="F179" s="2" t="s">
        <v>38</v>
      </c>
      <c r="G179" s="2" t="s">
        <v>28</v>
      </c>
      <c r="H179" s="2" t="s">
        <v>54</v>
      </c>
      <c r="I179" s="2"/>
      <c r="K179" s="6">
        <f>_xlfn.XLOOKUP(Cases_Tbl[[#This Row],[Priority]],SLA_Table!$A$2:$A$4,SLA_Table!$B$2:$B$4)</f>
        <v>5</v>
      </c>
      <c r="L179" s="6">
        <f t="shared" si="10"/>
        <v>3</v>
      </c>
      <c r="M179" s="6" t="str">
        <f t="shared" si="11"/>
        <v>Yes</v>
      </c>
      <c r="N179" s="11">
        <f t="shared" si="12"/>
        <v>46293</v>
      </c>
      <c r="O179" s="9">
        <f t="shared" si="13"/>
        <v>46300</v>
      </c>
      <c r="P179" s="28" t="str">
        <f>IF(D179="Open",KPI!$K$13-B179,"")</f>
        <v/>
      </c>
      <c r="Q179" s="24" t="str">
        <f t="shared" si="14"/>
        <v/>
      </c>
    </row>
    <row r="180" spans="1:17">
      <c r="A180" s="2" t="s">
        <v>240</v>
      </c>
      <c r="B180" s="4">
        <v>46300</v>
      </c>
      <c r="C180" s="4">
        <v>46311</v>
      </c>
      <c r="D180" s="2" t="s">
        <v>25</v>
      </c>
      <c r="E180" s="2" t="s">
        <v>26</v>
      </c>
      <c r="F180" s="2" t="s">
        <v>31</v>
      </c>
      <c r="G180" s="2" t="s">
        <v>32</v>
      </c>
      <c r="H180" t="s">
        <v>386</v>
      </c>
      <c r="I180" s="2" t="s">
        <v>55</v>
      </c>
      <c r="K180" s="6">
        <f>_xlfn.XLOOKUP(Cases_Tbl[[#This Row],[Priority]],SLA_Table!$A$2:$A$4,SLA_Table!$B$2:$B$4)</f>
        <v>5</v>
      </c>
      <c r="L180" s="6">
        <f t="shared" si="10"/>
        <v>11</v>
      </c>
      <c r="M180" s="6" t="str">
        <f t="shared" si="11"/>
        <v>No</v>
      </c>
      <c r="N180" s="11">
        <f t="shared" si="12"/>
        <v>46300</v>
      </c>
      <c r="O180" s="9">
        <f t="shared" si="13"/>
        <v>46307</v>
      </c>
      <c r="P180" s="28" t="str">
        <f>IF(D180="Open",KPI!$K$13-B180,"")</f>
        <v/>
      </c>
      <c r="Q180" s="24" t="str">
        <f t="shared" si="14"/>
        <v/>
      </c>
    </row>
    <row r="181" spans="1:17">
      <c r="A181" s="2" t="s">
        <v>241</v>
      </c>
      <c r="B181" s="4">
        <v>46300</v>
      </c>
      <c r="C181" s="4">
        <v>46305</v>
      </c>
      <c r="D181" s="2" t="s">
        <v>25</v>
      </c>
      <c r="E181" s="2" t="s">
        <v>43</v>
      </c>
      <c r="F181" s="2" t="s">
        <v>31</v>
      </c>
      <c r="G181" s="2" t="s">
        <v>28</v>
      </c>
      <c r="H181" s="2" t="s">
        <v>36</v>
      </c>
      <c r="I181" s="2" t="s">
        <v>55</v>
      </c>
      <c r="K181" s="6">
        <f>_xlfn.XLOOKUP(Cases_Tbl[[#This Row],[Priority]],SLA_Table!$A$2:$A$4,SLA_Table!$B$2:$B$4)</f>
        <v>2</v>
      </c>
      <c r="L181" s="6">
        <f t="shared" si="10"/>
        <v>5</v>
      </c>
      <c r="M181" s="6" t="str">
        <f t="shared" si="11"/>
        <v>No</v>
      </c>
      <c r="N181" s="11">
        <f t="shared" si="12"/>
        <v>46300</v>
      </c>
      <c r="O181" s="9">
        <f t="shared" si="13"/>
        <v>46300</v>
      </c>
      <c r="P181" s="28" t="str">
        <f>IF(D181="Open",KPI!$K$13-B181,"")</f>
        <v/>
      </c>
      <c r="Q181" s="24" t="str">
        <f t="shared" si="14"/>
        <v/>
      </c>
    </row>
    <row r="182" spans="1:17">
      <c r="A182" s="2" t="s">
        <v>242</v>
      </c>
      <c r="B182" s="4">
        <v>46300</v>
      </c>
      <c r="C182" s="4">
        <v>46303</v>
      </c>
      <c r="D182" s="2" t="s">
        <v>25</v>
      </c>
      <c r="E182" s="2" t="s">
        <v>26</v>
      </c>
      <c r="F182" s="2" t="s">
        <v>47</v>
      </c>
      <c r="G182" s="2" t="s">
        <v>39</v>
      </c>
      <c r="H182" s="2" t="s">
        <v>33</v>
      </c>
      <c r="I182" s="2"/>
      <c r="K182" s="6">
        <f>_xlfn.XLOOKUP(Cases_Tbl[[#This Row],[Priority]],SLA_Table!$A$2:$A$4,SLA_Table!$B$2:$B$4)</f>
        <v>5</v>
      </c>
      <c r="L182" s="6">
        <f t="shared" si="10"/>
        <v>3</v>
      </c>
      <c r="M182" s="6" t="str">
        <f t="shared" si="11"/>
        <v>Yes</v>
      </c>
      <c r="N182" s="11">
        <f t="shared" si="12"/>
        <v>46300</v>
      </c>
      <c r="O182" s="9">
        <f t="shared" si="13"/>
        <v>46300</v>
      </c>
      <c r="P182" s="28" t="str">
        <f>IF(D182="Open",KPI!$K$13-B182,"")</f>
        <v/>
      </c>
      <c r="Q182" s="24" t="str">
        <f t="shared" si="14"/>
        <v/>
      </c>
    </row>
    <row r="183" spans="1:17">
      <c r="A183" s="2" t="s">
        <v>243</v>
      </c>
      <c r="B183" s="4">
        <v>46300</v>
      </c>
      <c r="C183" s="4">
        <v>46302</v>
      </c>
      <c r="D183" s="2" t="s">
        <v>25</v>
      </c>
      <c r="E183" s="2" t="s">
        <v>43</v>
      </c>
      <c r="F183" s="2" t="s">
        <v>31</v>
      </c>
      <c r="G183" s="2" t="s">
        <v>39</v>
      </c>
      <c r="H183" s="2" t="s">
        <v>36</v>
      </c>
      <c r="I183" s="2"/>
      <c r="K183" s="6">
        <f>_xlfn.XLOOKUP(Cases_Tbl[[#This Row],[Priority]],SLA_Table!$A$2:$A$4,SLA_Table!$B$2:$B$4)</f>
        <v>2</v>
      </c>
      <c r="L183" s="6">
        <f t="shared" si="10"/>
        <v>2</v>
      </c>
      <c r="M183" s="6" t="str">
        <f t="shared" si="11"/>
        <v>Yes</v>
      </c>
      <c r="N183" s="11">
        <f t="shared" si="12"/>
        <v>46300</v>
      </c>
      <c r="O183" s="9">
        <f t="shared" si="13"/>
        <v>46300</v>
      </c>
      <c r="P183" s="28" t="str">
        <f>IF(D183="Open",KPI!$K$13-B183,"")</f>
        <v/>
      </c>
      <c r="Q183" s="24" t="str">
        <f t="shared" si="14"/>
        <v/>
      </c>
    </row>
    <row r="184" spans="1:17">
      <c r="A184" s="2" t="s">
        <v>244</v>
      </c>
      <c r="B184" s="4">
        <v>46301</v>
      </c>
      <c r="C184" s="4">
        <v>46304</v>
      </c>
      <c r="D184" s="2" t="s">
        <v>25</v>
      </c>
      <c r="E184" s="2" t="s">
        <v>26</v>
      </c>
      <c r="F184" s="2" t="s">
        <v>27</v>
      </c>
      <c r="G184" s="2" t="s">
        <v>28</v>
      </c>
      <c r="H184" s="2" t="s">
        <v>54</v>
      </c>
      <c r="I184" s="2"/>
      <c r="K184" s="6">
        <f>_xlfn.XLOOKUP(Cases_Tbl[[#This Row],[Priority]],SLA_Table!$A$2:$A$4,SLA_Table!$B$2:$B$4)</f>
        <v>5</v>
      </c>
      <c r="L184" s="6">
        <f t="shared" si="10"/>
        <v>3</v>
      </c>
      <c r="M184" s="6" t="str">
        <f t="shared" si="11"/>
        <v>Yes</v>
      </c>
      <c r="N184" s="11">
        <f t="shared" si="12"/>
        <v>46300</v>
      </c>
      <c r="O184" s="9">
        <f t="shared" si="13"/>
        <v>46300</v>
      </c>
      <c r="P184" s="28" t="str">
        <f>IF(D184="Open",KPI!$K$13-B184,"")</f>
        <v/>
      </c>
      <c r="Q184" s="24" t="str">
        <f t="shared" si="14"/>
        <v/>
      </c>
    </row>
    <row r="185" spans="1:17">
      <c r="A185" s="2" t="s">
        <v>245</v>
      </c>
      <c r="B185" s="4">
        <v>46302</v>
      </c>
      <c r="C185" s="4">
        <v>46311</v>
      </c>
      <c r="D185" s="2" t="s">
        <v>25</v>
      </c>
      <c r="E185" s="2" t="s">
        <v>35</v>
      </c>
      <c r="F185" s="2" t="s">
        <v>27</v>
      </c>
      <c r="G185" s="2" t="s">
        <v>32</v>
      </c>
      <c r="H185" s="2" t="s">
        <v>48</v>
      </c>
      <c r="I185" s="2"/>
      <c r="K185" s="6">
        <f>_xlfn.XLOOKUP(Cases_Tbl[[#This Row],[Priority]],SLA_Table!$A$2:$A$4,SLA_Table!$B$2:$B$4)</f>
        <v>10</v>
      </c>
      <c r="L185" s="6">
        <f t="shared" si="10"/>
        <v>9</v>
      </c>
      <c r="M185" s="6" t="str">
        <f t="shared" si="11"/>
        <v>Yes</v>
      </c>
      <c r="N185" s="11">
        <f t="shared" si="12"/>
        <v>46300</v>
      </c>
      <c r="O185" s="9">
        <f t="shared" si="13"/>
        <v>46307</v>
      </c>
      <c r="P185" s="28" t="str">
        <f>IF(D185="Open",KPI!$K$13-B185,"")</f>
        <v/>
      </c>
      <c r="Q185" s="24" t="str">
        <f t="shared" si="14"/>
        <v/>
      </c>
    </row>
    <row r="186" spans="1:17">
      <c r="A186" s="2" t="s">
        <v>246</v>
      </c>
      <c r="B186" s="4">
        <v>46303</v>
      </c>
      <c r="C186" s="4">
        <v>46309</v>
      </c>
      <c r="D186" s="2" t="s">
        <v>25</v>
      </c>
      <c r="E186" s="2" t="s">
        <v>35</v>
      </c>
      <c r="F186" s="2" t="s">
        <v>41</v>
      </c>
      <c r="G186" s="2" t="s">
        <v>28</v>
      </c>
      <c r="H186" s="2" t="s">
        <v>33</v>
      </c>
      <c r="I186" s="2"/>
      <c r="K186" s="6">
        <f>_xlfn.XLOOKUP(Cases_Tbl[[#This Row],[Priority]],SLA_Table!$A$2:$A$4,SLA_Table!$B$2:$B$4)</f>
        <v>10</v>
      </c>
      <c r="L186" s="6">
        <f t="shared" si="10"/>
        <v>6</v>
      </c>
      <c r="M186" s="6" t="str">
        <f t="shared" si="11"/>
        <v>Yes</v>
      </c>
      <c r="N186" s="11">
        <f t="shared" si="12"/>
        <v>46300</v>
      </c>
      <c r="O186" s="9">
        <f t="shared" si="13"/>
        <v>46307</v>
      </c>
      <c r="P186" s="28" t="str">
        <f>IF(D186="Open",KPI!$K$13-B186,"")</f>
        <v/>
      </c>
      <c r="Q186" s="24" t="str">
        <f t="shared" si="14"/>
        <v/>
      </c>
    </row>
    <row r="187" spans="1:17">
      <c r="A187" s="2" t="s">
        <v>247</v>
      </c>
      <c r="B187" s="4">
        <v>46303</v>
      </c>
      <c r="C187" s="4">
        <v>46313</v>
      </c>
      <c r="D187" s="2" t="s">
        <v>25</v>
      </c>
      <c r="E187" s="2" t="s">
        <v>26</v>
      </c>
      <c r="F187" s="2" t="s">
        <v>47</v>
      </c>
      <c r="G187" s="2" t="s">
        <v>28</v>
      </c>
      <c r="H187" s="2" t="s">
        <v>36</v>
      </c>
      <c r="I187" s="2" t="s">
        <v>98</v>
      </c>
      <c r="K187" s="6">
        <f>_xlfn.XLOOKUP(Cases_Tbl[[#This Row],[Priority]],SLA_Table!$A$2:$A$4,SLA_Table!$B$2:$B$4)</f>
        <v>5</v>
      </c>
      <c r="L187" s="6">
        <f t="shared" si="10"/>
        <v>10</v>
      </c>
      <c r="M187" s="6" t="str">
        <f t="shared" si="11"/>
        <v>No</v>
      </c>
      <c r="N187" s="11">
        <f t="shared" si="12"/>
        <v>46300</v>
      </c>
      <c r="O187" s="9">
        <f t="shared" si="13"/>
        <v>46307</v>
      </c>
      <c r="P187" s="28" t="str">
        <f>IF(D187="Open",KPI!$K$13-B187,"")</f>
        <v/>
      </c>
      <c r="Q187" s="24" t="str">
        <f t="shared" si="14"/>
        <v/>
      </c>
    </row>
    <row r="188" spans="1:17">
      <c r="A188" s="2" t="s">
        <v>248</v>
      </c>
      <c r="B188" s="4">
        <v>46303</v>
      </c>
      <c r="C188" s="4">
        <v>46310</v>
      </c>
      <c r="D188" s="2" t="s">
        <v>25</v>
      </c>
      <c r="E188" s="2" t="s">
        <v>35</v>
      </c>
      <c r="F188" s="2" t="s">
        <v>47</v>
      </c>
      <c r="G188" s="2" t="s">
        <v>28</v>
      </c>
      <c r="H188" s="2" t="s">
        <v>54</v>
      </c>
      <c r="I188" s="2"/>
      <c r="K188" s="6">
        <f>_xlfn.XLOOKUP(Cases_Tbl[[#This Row],[Priority]],SLA_Table!$A$2:$A$4,SLA_Table!$B$2:$B$4)</f>
        <v>10</v>
      </c>
      <c r="L188" s="6">
        <f t="shared" si="10"/>
        <v>7</v>
      </c>
      <c r="M188" s="6" t="str">
        <f t="shared" si="11"/>
        <v>Yes</v>
      </c>
      <c r="N188" s="11">
        <f t="shared" si="12"/>
        <v>46300</v>
      </c>
      <c r="O188" s="9">
        <f t="shared" si="13"/>
        <v>46307</v>
      </c>
      <c r="P188" s="28" t="str">
        <f>IF(D188="Open",KPI!$K$13-B188,"")</f>
        <v/>
      </c>
      <c r="Q188" s="24" t="str">
        <f t="shared" si="14"/>
        <v/>
      </c>
    </row>
    <row r="189" spans="1:17">
      <c r="A189" s="2" t="s">
        <v>249</v>
      </c>
      <c r="B189" s="4">
        <v>46303</v>
      </c>
      <c r="C189" s="4">
        <v>46312</v>
      </c>
      <c r="D189" s="2" t="s">
        <v>25</v>
      </c>
      <c r="E189" s="2" t="s">
        <v>35</v>
      </c>
      <c r="F189" s="2" t="s">
        <v>31</v>
      </c>
      <c r="G189" s="2" t="s">
        <v>39</v>
      </c>
      <c r="H189" s="2" t="s">
        <v>36</v>
      </c>
      <c r="I189" s="2"/>
      <c r="K189" s="6">
        <f>_xlfn.XLOOKUP(Cases_Tbl[[#This Row],[Priority]],SLA_Table!$A$2:$A$4,SLA_Table!$B$2:$B$4)</f>
        <v>10</v>
      </c>
      <c r="L189" s="6">
        <f t="shared" si="10"/>
        <v>9</v>
      </c>
      <c r="M189" s="6" t="str">
        <f t="shared" si="11"/>
        <v>Yes</v>
      </c>
      <c r="N189" s="11">
        <f t="shared" si="12"/>
        <v>46300</v>
      </c>
      <c r="O189" s="9">
        <f t="shared" si="13"/>
        <v>46307</v>
      </c>
      <c r="P189" s="28" t="str">
        <f>IF(D189="Open",KPI!$K$13-B189,"")</f>
        <v/>
      </c>
      <c r="Q189" s="24" t="str">
        <f t="shared" si="14"/>
        <v/>
      </c>
    </row>
    <row r="190" spans="1:17">
      <c r="A190" s="2" t="s">
        <v>250</v>
      </c>
      <c r="B190" s="4">
        <v>46303</v>
      </c>
      <c r="C190" s="4">
        <v>46306</v>
      </c>
      <c r="D190" s="2" t="s">
        <v>25</v>
      </c>
      <c r="E190" s="2" t="s">
        <v>26</v>
      </c>
      <c r="F190" s="2" t="s">
        <v>27</v>
      </c>
      <c r="G190" s="2" t="s">
        <v>39</v>
      </c>
      <c r="H190" s="2" t="s">
        <v>36</v>
      </c>
      <c r="I190" s="2"/>
      <c r="K190" s="6">
        <f>_xlfn.XLOOKUP(Cases_Tbl[[#This Row],[Priority]],SLA_Table!$A$2:$A$4,SLA_Table!$B$2:$B$4)</f>
        <v>5</v>
      </c>
      <c r="L190" s="6">
        <f t="shared" si="10"/>
        <v>3</v>
      </c>
      <c r="M190" s="6" t="str">
        <f t="shared" si="11"/>
        <v>Yes</v>
      </c>
      <c r="N190" s="11">
        <f t="shared" si="12"/>
        <v>46300</v>
      </c>
      <c r="O190" s="9">
        <f t="shared" si="13"/>
        <v>46300</v>
      </c>
      <c r="P190" s="28" t="str">
        <f>IF(D190="Open",KPI!$K$13-B190,"")</f>
        <v/>
      </c>
      <c r="Q190" s="24" t="str">
        <f t="shared" si="14"/>
        <v/>
      </c>
    </row>
    <row r="191" spans="1:17">
      <c r="A191" s="2" t="s">
        <v>251</v>
      </c>
      <c r="B191" s="4">
        <v>46303</v>
      </c>
      <c r="C191" s="4">
        <v>46308</v>
      </c>
      <c r="D191" s="2" t="s">
        <v>25</v>
      </c>
      <c r="E191" s="2" t="s">
        <v>26</v>
      </c>
      <c r="F191" s="2" t="s">
        <v>31</v>
      </c>
      <c r="G191" s="2" t="s">
        <v>32</v>
      </c>
      <c r="H191" s="2" t="s">
        <v>33</v>
      </c>
      <c r="I191" s="2"/>
      <c r="K191" s="6">
        <f>_xlfn.XLOOKUP(Cases_Tbl[[#This Row],[Priority]],SLA_Table!$A$2:$A$4,SLA_Table!$B$2:$B$4)</f>
        <v>5</v>
      </c>
      <c r="L191" s="6">
        <f t="shared" si="10"/>
        <v>5</v>
      </c>
      <c r="M191" s="6" t="str">
        <f t="shared" si="11"/>
        <v>Yes</v>
      </c>
      <c r="N191" s="11">
        <f t="shared" si="12"/>
        <v>46300</v>
      </c>
      <c r="O191" s="9">
        <f t="shared" si="13"/>
        <v>46307</v>
      </c>
      <c r="P191" s="28" t="str">
        <f>IF(D191="Open",KPI!$K$13-B191,"")</f>
        <v/>
      </c>
      <c r="Q191" s="24" t="str">
        <f t="shared" si="14"/>
        <v/>
      </c>
    </row>
    <row r="192" spans="1:17">
      <c r="A192" s="2" t="s">
        <v>252</v>
      </c>
      <c r="B192" s="4">
        <v>46303</v>
      </c>
      <c r="C192" s="4">
        <v>46305</v>
      </c>
      <c r="D192" s="2" t="s">
        <v>25</v>
      </c>
      <c r="E192" s="2" t="s">
        <v>26</v>
      </c>
      <c r="F192" s="2" t="s">
        <v>41</v>
      </c>
      <c r="G192" s="2" t="s">
        <v>39</v>
      </c>
      <c r="H192" s="2" t="s">
        <v>54</v>
      </c>
      <c r="I192" s="2"/>
      <c r="K192" s="6">
        <f>_xlfn.XLOOKUP(Cases_Tbl[[#This Row],[Priority]],SLA_Table!$A$2:$A$4,SLA_Table!$B$2:$B$4)</f>
        <v>5</v>
      </c>
      <c r="L192" s="6">
        <f t="shared" si="10"/>
        <v>2</v>
      </c>
      <c r="M192" s="6" t="str">
        <f t="shared" si="11"/>
        <v>Yes</v>
      </c>
      <c r="N192" s="11">
        <f t="shared" si="12"/>
        <v>46300</v>
      </c>
      <c r="O192" s="9">
        <f t="shared" si="13"/>
        <v>46300</v>
      </c>
      <c r="P192" s="28" t="str">
        <f>IF(D192="Open",KPI!$K$13-B192,"")</f>
        <v/>
      </c>
      <c r="Q192" s="24" t="str">
        <f t="shared" si="14"/>
        <v/>
      </c>
    </row>
    <row r="193" spans="1:17">
      <c r="A193" s="2" t="s">
        <v>253</v>
      </c>
      <c r="B193" s="4">
        <v>46303</v>
      </c>
      <c r="C193" s="4">
        <v>46304</v>
      </c>
      <c r="D193" s="2" t="s">
        <v>25</v>
      </c>
      <c r="E193" s="2" t="s">
        <v>43</v>
      </c>
      <c r="F193" s="2" t="s">
        <v>47</v>
      </c>
      <c r="G193" s="2" t="s">
        <v>32</v>
      </c>
      <c r="H193" s="2" t="s">
        <v>48</v>
      </c>
      <c r="I193" s="2"/>
      <c r="K193" s="6">
        <f>_xlfn.XLOOKUP(Cases_Tbl[[#This Row],[Priority]],SLA_Table!$A$2:$A$4,SLA_Table!$B$2:$B$4)</f>
        <v>2</v>
      </c>
      <c r="L193" s="6">
        <f t="shared" si="10"/>
        <v>1</v>
      </c>
      <c r="M193" s="6" t="str">
        <f t="shared" si="11"/>
        <v>Yes</v>
      </c>
      <c r="N193" s="11">
        <f t="shared" si="12"/>
        <v>46300</v>
      </c>
      <c r="O193" s="9">
        <f t="shared" si="13"/>
        <v>46300</v>
      </c>
      <c r="P193" s="28" t="str">
        <f>IF(D193="Open",KPI!$K$13-B193,"")</f>
        <v/>
      </c>
      <c r="Q193" s="24" t="str">
        <f t="shared" si="14"/>
        <v/>
      </c>
    </row>
    <row r="194" spans="1:17">
      <c r="A194" s="2" t="s">
        <v>254</v>
      </c>
      <c r="B194" s="4">
        <v>46303</v>
      </c>
      <c r="C194" s="4">
        <v>46304</v>
      </c>
      <c r="D194" s="2" t="s">
        <v>25</v>
      </c>
      <c r="E194" s="2" t="s">
        <v>43</v>
      </c>
      <c r="F194" s="2" t="s">
        <v>27</v>
      </c>
      <c r="G194" s="2" t="s">
        <v>39</v>
      </c>
      <c r="H194" s="2" t="s">
        <v>29</v>
      </c>
      <c r="I194" s="2"/>
      <c r="K194" s="6">
        <f>_xlfn.XLOOKUP(Cases_Tbl[[#This Row],[Priority]],SLA_Table!$A$2:$A$4,SLA_Table!$B$2:$B$4)</f>
        <v>2</v>
      </c>
      <c r="L194" s="6">
        <f t="shared" ref="L194:L257" si="15">IF(OR(C194="",J194&lt;&gt;""),"",C194-B194)</f>
        <v>1</v>
      </c>
      <c r="M194" s="6" t="str">
        <f t="shared" ref="M194:M257" si="16">IF(L194="","",IF(L194&lt;=K194,"Yes","No"))</f>
        <v>Yes</v>
      </c>
      <c r="N194" s="11">
        <f t="shared" ref="N194:N257" si="17">B194-WEEKDAY(B194,2)+1</f>
        <v>46300</v>
      </c>
      <c r="O194" s="9">
        <f t="shared" ref="O194:O257" si="18">IF(C194="","",C194-WEEKDAY(C194,2)+1)</f>
        <v>46300</v>
      </c>
      <c r="P194" s="28" t="str">
        <f>IF(D194="Open",KPI!$K$13-B194,"")</f>
        <v/>
      </c>
      <c r="Q194" s="24" t="str">
        <f t="shared" ref="Q194:Q257" si="19">IF(P194="","",IF(P194&gt;K194,"Yes","No"))</f>
        <v/>
      </c>
    </row>
    <row r="195" spans="1:17">
      <c r="A195" s="2" t="s">
        <v>255</v>
      </c>
      <c r="B195" s="4">
        <v>46304</v>
      </c>
      <c r="C195" s="4">
        <v>46307</v>
      </c>
      <c r="D195" s="2" t="s">
        <v>25</v>
      </c>
      <c r="E195" s="2" t="s">
        <v>26</v>
      </c>
      <c r="F195" s="2" t="s">
        <v>38</v>
      </c>
      <c r="G195" s="2" t="s">
        <v>32</v>
      </c>
      <c r="H195" s="2" t="s">
        <v>29</v>
      </c>
      <c r="I195" s="2"/>
      <c r="K195" s="6">
        <f>_xlfn.XLOOKUP(Cases_Tbl[[#This Row],[Priority]],SLA_Table!$A$2:$A$4,SLA_Table!$B$2:$B$4)</f>
        <v>5</v>
      </c>
      <c r="L195" s="6">
        <f t="shared" si="15"/>
        <v>3</v>
      </c>
      <c r="M195" s="6" t="str">
        <f t="shared" si="16"/>
        <v>Yes</v>
      </c>
      <c r="N195" s="11">
        <f t="shared" si="17"/>
        <v>46300</v>
      </c>
      <c r="O195" s="9">
        <f t="shared" si="18"/>
        <v>46307</v>
      </c>
      <c r="P195" s="28" t="str">
        <f>IF(D195="Open",KPI!$K$13-B195,"")</f>
        <v/>
      </c>
      <c r="Q195" s="24" t="str">
        <f t="shared" si="19"/>
        <v/>
      </c>
    </row>
    <row r="196" spans="1:17">
      <c r="A196" s="2" t="s">
        <v>256</v>
      </c>
      <c r="B196" s="4">
        <v>46304</v>
      </c>
      <c r="C196" s="4">
        <v>46305</v>
      </c>
      <c r="D196" s="2" t="s">
        <v>25</v>
      </c>
      <c r="E196" s="6" t="s">
        <v>381</v>
      </c>
      <c r="F196" s="2" t="s">
        <v>27</v>
      </c>
      <c r="G196" s="2" t="s">
        <v>32</v>
      </c>
      <c r="H196" s="2" t="s">
        <v>33</v>
      </c>
      <c r="I196" s="2"/>
      <c r="K196" s="6">
        <f>_xlfn.XLOOKUP(Cases_Tbl[[#This Row],[Priority]],SLA_Table!$A$2:$A$4,SLA_Table!$B$2:$B$4)</f>
        <v>5</v>
      </c>
      <c r="L196" s="6">
        <f t="shared" si="15"/>
        <v>1</v>
      </c>
      <c r="M196" s="6" t="str">
        <f t="shared" si="16"/>
        <v>Yes</v>
      </c>
      <c r="N196" s="11">
        <f t="shared" si="17"/>
        <v>46300</v>
      </c>
      <c r="O196" s="9">
        <f t="shared" si="18"/>
        <v>46300</v>
      </c>
      <c r="P196" s="28" t="str">
        <f>IF(D196="Open",KPI!$K$13-B196,"")</f>
        <v/>
      </c>
      <c r="Q196" s="24" t="str">
        <f t="shared" si="19"/>
        <v/>
      </c>
    </row>
    <row r="197" spans="1:17">
      <c r="A197" s="2" t="s">
        <v>258</v>
      </c>
      <c r="B197" s="4">
        <v>46304</v>
      </c>
      <c r="C197" s="4">
        <v>46306</v>
      </c>
      <c r="D197" s="2" t="s">
        <v>25</v>
      </c>
      <c r="E197" s="2" t="s">
        <v>43</v>
      </c>
      <c r="F197" s="2" t="s">
        <v>31</v>
      </c>
      <c r="G197" s="2" t="s">
        <v>32</v>
      </c>
      <c r="H197" s="2" t="s">
        <v>54</v>
      </c>
      <c r="I197" s="2"/>
      <c r="K197" s="6">
        <f>_xlfn.XLOOKUP(Cases_Tbl[[#This Row],[Priority]],SLA_Table!$A$2:$A$4,SLA_Table!$B$2:$B$4)</f>
        <v>2</v>
      </c>
      <c r="L197" s="6">
        <f t="shared" si="15"/>
        <v>2</v>
      </c>
      <c r="M197" s="6" t="str">
        <f t="shared" si="16"/>
        <v>Yes</v>
      </c>
      <c r="N197" s="11">
        <f t="shared" si="17"/>
        <v>46300</v>
      </c>
      <c r="O197" s="9">
        <f t="shared" si="18"/>
        <v>46300</v>
      </c>
      <c r="P197" s="28" t="str">
        <f>IF(D197="Open",KPI!$K$13-B197,"")</f>
        <v/>
      </c>
      <c r="Q197" s="24" t="str">
        <f t="shared" si="19"/>
        <v/>
      </c>
    </row>
    <row r="198" spans="1:17">
      <c r="A198" s="2" t="s">
        <v>259</v>
      </c>
      <c r="B198" s="4">
        <v>46304</v>
      </c>
      <c r="C198" s="4">
        <v>46304</v>
      </c>
      <c r="D198" s="2" t="s">
        <v>25</v>
      </c>
      <c r="E198" s="2" t="s">
        <v>43</v>
      </c>
      <c r="F198" s="2" t="s">
        <v>41</v>
      </c>
      <c r="G198" s="2" t="s">
        <v>28</v>
      </c>
      <c r="H198" s="2" t="s">
        <v>44</v>
      </c>
      <c r="I198" s="2"/>
      <c r="K198" s="6">
        <f>_xlfn.XLOOKUP(Cases_Tbl[[#This Row],[Priority]],SLA_Table!$A$2:$A$4,SLA_Table!$B$2:$B$4)</f>
        <v>2</v>
      </c>
      <c r="L198" s="6">
        <f t="shared" si="15"/>
        <v>0</v>
      </c>
      <c r="M198" s="6" t="str">
        <f t="shared" si="16"/>
        <v>Yes</v>
      </c>
      <c r="N198" s="11">
        <f t="shared" si="17"/>
        <v>46300</v>
      </c>
      <c r="O198" s="9">
        <f t="shared" si="18"/>
        <v>46300</v>
      </c>
      <c r="P198" s="28" t="str">
        <f>IF(D198="Open",KPI!$K$13-B198,"")</f>
        <v/>
      </c>
      <c r="Q198" s="24" t="str">
        <f t="shared" si="19"/>
        <v/>
      </c>
    </row>
    <row r="199" spans="1:17">
      <c r="A199" s="2" t="s">
        <v>260</v>
      </c>
      <c r="B199" s="4">
        <v>46304</v>
      </c>
      <c r="C199" s="4">
        <v>46306</v>
      </c>
      <c r="D199" s="2" t="s">
        <v>25</v>
      </c>
      <c r="E199" s="2" t="s">
        <v>43</v>
      </c>
      <c r="F199" s="2" t="s">
        <v>38</v>
      </c>
      <c r="G199" s="2" t="s">
        <v>39</v>
      </c>
      <c r="H199" s="2" t="s">
        <v>54</v>
      </c>
      <c r="I199" s="2"/>
      <c r="K199" s="6">
        <f>_xlfn.XLOOKUP(Cases_Tbl[[#This Row],[Priority]],SLA_Table!$A$2:$A$4,SLA_Table!$B$2:$B$4)</f>
        <v>2</v>
      </c>
      <c r="L199" s="6">
        <f t="shared" si="15"/>
        <v>2</v>
      </c>
      <c r="M199" s="6" t="str">
        <f t="shared" si="16"/>
        <v>Yes</v>
      </c>
      <c r="N199" s="11">
        <f t="shared" si="17"/>
        <v>46300</v>
      </c>
      <c r="O199" s="9">
        <f t="shared" si="18"/>
        <v>46300</v>
      </c>
      <c r="P199" s="28" t="str">
        <f>IF(D199="Open",KPI!$K$13-B199,"")</f>
        <v/>
      </c>
      <c r="Q199" s="24" t="str">
        <f t="shared" si="19"/>
        <v/>
      </c>
    </row>
    <row r="200" spans="1:17">
      <c r="A200" s="2" t="s">
        <v>261</v>
      </c>
      <c r="B200" s="4">
        <v>46305</v>
      </c>
      <c r="C200" s="4">
        <v>46305</v>
      </c>
      <c r="D200" s="2" t="s">
        <v>25</v>
      </c>
      <c r="E200" s="2" t="s">
        <v>43</v>
      </c>
      <c r="F200" s="2" t="s">
        <v>38</v>
      </c>
      <c r="G200" s="2" t="s">
        <v>28</v>
      </c>
      <c r="H200" s="2" t="s">
        <v>44</v>
      </c>
      <c r="I200" s="2"/>
      <c r="K200" s="6">
        <f>_xlfn.XLOOKUP(Cases_Tbl[[#This Row],[Priority]],SLA_Table!$A$2:$A$4,SLA_Table!$B$2:$B$4)</f>
        <v>2</v>
      </c>
      <c r="L200" s="6">
        <f t="shared" si="15"/>
        <v>0</v>
      </c>
      <c r="M200" s="6" t="str">
        <f t="shared" si="16"/>
        <v>Yes</v>
      </c>
      <c r="N200" s="11">
        <f t="shared" si="17"/>
        <v>46300</v>
      </c>
      <c r="O200" s="9">
        <f t="shared" si="18"/>
        <v>46300</v>
      </c>
      <c r="P200" s="28" t="str">
        <f>IF(D200="Open",KPI!$K$13-B200,"")</f>
        <v/>
      </c>
      <c r="Q200" s="24" t="str">
        <f t="shared" si="19"/>
        <v/>
      </c>
    </row>
    <row r="201" spans="1:17">
      <c r="A201" s="2" t="s">
        <v>262</v>
      </c>
      <c r="B201" s="4">
        <v>46305</v>
      </c>
      <c r="C201" s="4">
        <v>46314</v>
      </c>
      <c r="D201" s="2" t="s">
        <v>25</v>
      </c>
      <c r="E201" s="2" t="s">
        <v>35</v>
      </c>
      <c r="F201" s="2" t="s">
        <v>41</v>
      </c>
      <c r="G201" s="2" t="s">
        <v>32</v>
      </c>
      <c r="H201" s="2" t="s">
        <v>29</v>
      </c>
      <c r="I201" s="2"/>
      <c r="K201" s="6">
        <f>_xlfn.XLOOKUP(Cases_Tbl[[#This Row],[Priority]],SLA_Table!$A$2:$A$4,SLA_Table!$B$2:$B$4)</f>
        <v>10</v>
      </c>
      <c r="L201" s="6">
        <f t="shared" si="15"/>
        <v>9</v>
      </c>
      <c r="M201" s="6" t="str">
        <f t="shared" si="16"/>
        <v>Yes</v>
      </c>
      <c r="N201" s="11">
        <f t="shared" si="17"/>
        <v>46300</v>
      </c>
      <c r="O201" s="9">
        <f t="shared" si="18"/>
        <v>46314</v>
      </c>
      <c r="P201" s="28" t="str">
        <f>IF(D201="Open",KPI!$K$13-B201,"")</f>
        <v/>
      </c>
      <c r="Q201" s="24" t="str">
        <f t="shared" si="19"/>
        <v/>
      </c>
    </row>
    <row r="202" spans="1:17">
      <c r="A202" s="2" t="s">
        <v>263</v>
      </c>
      <c r="B202" s="4">
        <v>46305</v>
      </c>
      <c r="C202" s="4">
        <v>46315</v>
      </c>
      <c r="D202" s="2" t="s">
        <v>25</v>
      </c>
      <c r="E202" s="2" t="s">
        <v>35</v>
      </c>
      <c r="F202" s="2" t="s">
        <v>47</v>
      </c>
      <c r="G202" s="2" t="s">
        <v>39</v>
      </c>
      <c r="H202" s="2" t="s">
        <v>33</v>
      </c>
      <c r="I202" s="2"/>
      <c r="K202" s="6">
        <f>_xlfn.XLOOKUP(Cases_Tbl[[#This Row],[Priority]],SLA_Table!$A$2:$A$4,SLA_Table!$B$2:$B$4)</f>
        <v>10</v>
      </c>
      <c r="L202" s="6">
        <f t="shared" si="15"/>
        <v>10</v>
      </c>
      <c r="M202" s="6" t="str">
        <f t="shared" si="16"/>
        <v>Yes</v>
      </c>
      <c r="N202" s="11">
        <f t="shared" si="17"/>
        <v>46300</v>
      </c>
      <c r="O202" s="9">
        <f t="shared" si="18"/>
        <v>46314</v>
      </c>
      <c r="P202" s="28" t="str">
        <f>IF(D202="Open",KPI!$K$13-B202,"")</f>
        <v/>
      </c>
      <c r="Q202" s="24" t="str">
        <f t="shared" si="19"/>
        <v/>
      </c>
    </row>
    <row r="203" spans="1:17">
      <c r="A203" s="2" t="s">
        <v>264</v>
      </c>
      <c r="B203" s="4">
        <v>46305</v>
      </c>
      <c r="C203" s="4">
        <v>46314</v>
      </c>
      <c r="D203" s="2" t="s">
        <v>25</v>
      </c>
      <c r="E203" s="2" t="s">
        <v>35</v>
      </c>
      <c r="F203" s="2" t="s">
        <v>31</v>
      </c>
      <c r="G203" s="2" t="s">
        <v>39</v>
      </c>
      <c r="H203" s="2" t="s">
        <v>54</v>
      </c>
      <c r="I203" s="2"/>
      <c r="K203" s="6">
        <f>_xlfn.XLOOKUP(Cases_Tbl[[#This Row],[Priority]],SLA_Table!$A$2:$A$4,SLA_Table!$B$2:$B$4)</f>
        <v>10</v>
      </c>
      <c r="L203" s="6">
        <f t="shared" si="15"/>
        <v>9</v>
      </c>
      <c r="M203" s="6" t="str">
        <f t="shared" si="16"/>
        <v>Yes</v>
      </c>
      <c r="N203" s="11">
        <f t="shared" si="17"/>
        <v>46300</v>
      </c>
      <c r="O203" s="9">
        <f t="shared" si="18"/>
        <v>46314</v>
      </c>
      <c r="P203" s="28" t="str">
        <f>IF(D203="Open",KPI!$K$13-B203,"")</f>
        <v/>
      </c>
      <c r="Q203" s="24" t="str">
        <f t="shared" si="19"/>
        <v/>
      </c>
    </row>
    <row r="204" spans="1:17">
      <c r="A204" s="2" t="s">
        <v>265</v>
      </c>
      <c r="B204" s="4">
        <v>46305</v>
      </c>
      <c r="C204" s="4">
        <v>46306</v>
      </c>
      <c r="D204" s="2" t="s">
        <v>25</v>
      </c>
      <c r="E204" s="6" t="s">
        <v>382</v>
      </c>
      <c r="F204" s="2" t="s">
        <v>47</v>
      </c>
      <c r="G204" s="2" t="s">
        <v>39</v>
      </c>
      <c r="H204" s="2" t="s">
        <v>33</v>
      </c>
      <c r="I204" s="2"/>
      <c r="K204" s="6">
        <f>_xlfn.XLOOKUP(Cases_Tbl[[#This Row],[Priority]],SLA_Table!$A$2:$A$4,SLA_Table!$B$2:$B$4)</f>
        <v>2</v>
      </c>
      <c r="L204" s="6">
        <f t="shared" si="15"/>
        <v>1</v>
      </c>
      <c r="M204" s="6" t="str">
        <f t="shared" si="16"/>
        <v>Yes</v>
      </c>
      <c r="N204" s="11">
        <f t="shared" si="17"/>
        <v>46300</v>
      </c>
      <c r="O204" s="9">
        <f t="shared" si="18"/>
        <v>46300</v>
      </c>
      <c r="P204" s="28" t="str">
        <f>IF(D204="Open",KPI!$K$13-B204,"")</f>
        <v/>
      </c>
      <c r="Q204" s="24" t="str">
        <f t="shared" si="19"/>
        <v/>
      </c>
    </row>
    <row r="205" spans="1:17">
      <c r="A205" s="2" t="s">
        <v>267</v>
      </c>
      <c r="B205" s="4">
        <v>46305</v>
      </c>
      <c r="C205" s="2"/>
      <c r="D205" s="2" t="s">
        <v>268</v>
      </c>
      <c r="E205" s="2" t="s">
        <v>35</v>
      </c>
      <c r="F205" s="2" t="s">
        <v>27</v>
      </c>
      <c r="G205" s="2" t="s">
        <v>28</v>
      </c>
      <c r="H205" s="2" t="s">
        <v>33</v>
      </c>
      <c r="I205" s="2" t="s">
        <v>55</v>
      </c>
      <c r="K205" s="6">
        <f>_xlfn.XLOOKUP(Cases_Tbl[[#This Row],[Priority]],SLA_Table!$A$2:$A$4,SLA_Table!$B$2:$B$4)</f>
        <v>10</v>
      </c>
      <c r="L205" s="6" t="str">
        <f t="shared" si="15"/>
        <v/>
      </c>
      <c r="M205" s="6" t="str">
        <f t="shared" si="16"/>
        <v/>
      </c>
      <c r="N205" s="11">
        <f t="shared" si="17"/>
        <v>46300</v>
      </c>
      <c r="O205" s="9" t="str">
        <f t="shared" si="18"/>
        <v/>
      </c>
      <c r="P205" s="28">
        <f>IF(D205="Open",KPI!$K$13-B205,"")</f>
        <v>20</v>
      </c>
      <c r="Q205" s="24" t="str">
        <f t="shared" si="19"/>
        <v>Yes</v>
      </c>
    </row>
    <row r="206" spans="1:17">
      <c r="A206" s="2" t="s">
        <v>269</v>
      </c>
      <c r="B206" s="4">
        <v>46305</v>
      </c>
      <c r="C206" s="4">
        <v>46320</v>
      </c>
      <c r="D206" s="2" t="s">
        <v>25</v>
      </c>
      <c r="E206" s="2" t="s">
        <v>35</v>
      </c>
      <c r="F206" s="2" t="s">
        <v>38</v>
      </c>
      <c r="G206" s="2" t="s">
        <v>32</v>
      </c>
      <c r="H206" s="2" t="s">
        <v>44</v>
      </c>
      <c r="I206" s="2" t="s">
        <v>98</v>
      </c>
      <c r="K206" s="6">
        <f>_xlfn.XLOOKUP(Cases_Tbl[[#This Row],[Priority]],SLA_Table!$A$2:$A$4,SLA_Table!$B$2:$B$4)</f>
        <v>10</v>
      </c>
      <c r="L206" s="6">
        <f t="shared" si="15"/>
        <v>15</v>
      </c>
      <c r="M206" s="6" t="str">
        <f t="shared" si="16"/>
        <v>No</v>
      </c>
      <c r="N206" s="11">
        <f t="shared" si="17"/>
        <v>46300</v>
      </c>
      <c r="O206" s="9">
        <f t="shared" si="18"/>
        <v>46314</v>
      </c>
      <c r="P206" s="28" t="str">
        <f>IF(D206="Open",KPI!$K$13-B206,"")</f>
        <v/>
      </c>
      <c r="Q206" s="24" t="str">
        <f t="shared" si="19"/>
        <v/>
      </c>
    </row>
    <row r="207" spans="1:17">
      <c r="A207" s="2" t="s">
        <v>270</v>
      </c>
      <c r="B207" s="4">
        <v>46305</v>
      </c>
      <c r="C207" s="4">
        <v>46307</v>
      </c>
      <c r="D207" s="2" t="s">
        <v>25</v>
      </c>
      <c r="E207" s="2" t="s">
        <v>26</v>
      </c>
      <c r="F207" s="2" t="s">
        <v>41</v>
      </c>
      <c r="G207" s="2" t="s">
        <v>28</v>
      </c>
      <c r="H207" s="2" t="s">
        <v>48</v>
      </c>
      <c r="I207" s="2"/>
      <c r="K207" s="6">
        <f>_xlfn.XLOOKUP(Cases_Tbl[[#This Row],[Priority]],SLA_Table!$A$2:$A$4,SLA_Table!$B$2:$B$4)</f>
        <v>5</v>
      </c>
      <c r="L207" s="6">
        <f t="shared" si="15"/>
        <v>2</v>
      </c>
      <c r="M207" s="6" t="str">
        <f t="shared" si="16"/>
        <v>Yes</v>
      </c>
      <c r="N207" s="11">
        <f t="shared" si="17"/>
        <v>46300</v>
      </c>
      <c r="O207" s="9">
        <f t="shared" si="18"/>
        <v>46307</v>
      </c>
      <c r="P207" s="28" t="str">
        <f>IF(D207="Open",KPI!$K$13-B207,"")</f>
        <v/>
      </c>
      <c r="Q207" s="24" t="str">
        <f t="shared" si="19"/>
        <v/>
      </c>
    </row>
    <row r="208" spans="1:17">
      <c r="A208" s="2" t="s">
        <v>271</v>
      </c>
      <c r="B208" s="4">
        <v>46305</v>
      </c>
      <c r="C208" s="4">
        <v>46307</v>
      </c>
      <c r="D208" s="2" t="s">
        <v>25</v>
      </c>
      <c r="E208" s="2" t="s">
        <v>43</v>
      </c>
      <c r="F208" s="2" t="s">
        <v>47</v>
      </c>
      <c r="G208" s="2" t="s">
        <v>28</v>
      </c>
      <c r="H208" s="2" t="s">
        <v>29</v>
      </c>
      <c r="I208" s="2"/>
      <c r="K208" s="6">
        <f>_xlfn.XLOOKUP(Cases_Tbl[[#This Row],[Priority]],SLA_Table!$A$2:$A$4,SLA_Table!$B$2:$B$4)</f>
        <v>2</v>
      </c>
      <c r="L208" s="6">
        <f t="shared" si="15"/>
        <v>2</v>
      </c>
      <c r="M208" s="6" t="str">
        <f t="shared" si="16"/>
        <v>Yes</v>
      </c>
      <c r="N208" s="11">
        <f t="shared" si="17"/>
        <v>46300</v>
      </c>
      <c r="O208" s="9">
        <f t="shared" si="18"/>
        <v>46307</v>
      </c>
      <c r="P208" s="28" t="str">
        <f>IF(D208="Open",KPI!$K$13-B208,"")</f>
        <v/>
      </c>
      <c r="Q208" s="24" t="str">
        <f t="shared" si="19"/>
        <v/>
      </c>
    </row>
    <row r="209" spans="1:17">
      <c r="A209" s="2" t="s">
        <v>272</v>
      </c>
      <c r="B209" s="4">
        <v>46306</v>
      </c>
      <c r="C209" s="4">
        <v>46308</v>
      </c>
      <c r="D209" s="2" t="s">
        <v>25</v>
      </c>
      <c r="E209" s="2" t="s">
        <v>26</v>
      </c>
      <c r="F209" s="2" t="s">
        <v>27</v>
      </c>
      <c r="G209" s="2" t="s">
        <v>39</v>
      </c>
      <c r="H209" s="2" t="s">
        <v>29</v>
      </c>
      <c r="I209" s="2"/>
      <c r="K209" s="6">
        <f>_xlfn.XLOOKUP(Cases_Tbl[[#This Row],[Priority]],SLA_Table!$A$2:$A$4,SLA_Table!$B$2:$B$4)</f>
        <v>5</v>
      </c>
      <c r="L209" s="6">
        <f t="shared" si="15"/>
        <v>2</v>
      </c>
      <c r="M209" s="6" t="str">
        <f t="shared" si="16"/>
        <v>Yes</v>
      </c>
      <c r="N209" s="11">
        <f t="shared" si="17"/>
        <v>46300</v>
      </c>
      <c r="O209" s="9">
        <f t="shared" si="18"/>
        <v>46307</v>
      </c>
      <c r="P209" s="28" t="str">
        <f>IF(D209="Open",KPI!$K$13-B209,"")</f>
        <v/>
      </c>
      <c r="Q209" s="24" t="str">
        <f t="shared" si="19"/>
        <v/>
      </c>
    </row>
    <row r="210" spans="1:17">
      <c r="A210" s="2" t="s">
        <v>273</v>
      </c>
      <c r="B210" s="4">
        <v>46306</v>
      </c>
      <c r="C210" s="4">
        <v>46313</v>
      </c>
      <c r="D210" s="2" t="s">
        <v>25</v>
      </c>
      <c r="E210" s="2" t="s">
        <v>35</v>
      </c>
      <c r="F210" s="2" t="s">
        <v>38</v>
      </c>
      <c r="G210" s="2" t="s">
        <v>32</v>
      </c>
      <c r="H210" s="2" t="s">
        <v>54</v>
      </c>
      <c r="I210" s="2"/>
      <c r="K210" s="6">
        <f>_xlfn.XLOOKUP(Cases_Tbl[[#This Row],[Priority]],SLA_Table!$A$2:$A$4,SLA_Table!$B$2:$B$4)</f>
        <v>10</v>
      </c>
      <c r="L210" s="6">
        <f t="shared" si="15"/>
        <v>7</v>
      </c>
      <c r="M210" s="6" t="str">
        <f t="shared" si="16"/>
        <v>Yes</v>
      </c>
      <c r="N210" s="11">
        <f t="shared" si="17"/>
        <v>46300</v>
      </c>
      <c r="O210" s="9">
        <f t="shared" si="18"/>
        <v>46307</v>
      </c>
      <c r="P210" s="28" t="str">
        <f>IF(D210="Open",KPI!$K$13-B210,"")</f>
        <v/>
      </c>
      <c r="Q210" s="24" t="str">
        <f t="shared" si="19"/>
        <v/>
      </c>
    </row>
    <row r="211" spans="1:17">
      <c r="A211" s="2" t="s">
        <v>274</v>
      </c>
      <c r="B211" s="4">
        <v>46306</v>
      </c>
      <c r="C211" s="4">
        <v>46312</v>
      </c>
      <c r="D211" s="2" t="s">
        <v>25</v>
      </c>
      <c r="E211" s="2" t="s">
        <v>35</v>
      </c>
      <c r="F211" s="2" t="s">
        <v>27</v>
      </c>
      <c r="G211" s="2" t="s">
        <v>39</v>
      </c>
      <c r="H211" s="2" t="s">
        <v>29</v>
      </c>
      <c r="I211" s="2"/>
      <c r="K211" s="6">
        <f>_xlfn.XLOOKUP(Cases_Tbl[[#This Row],[Priority]],SLA_Table!$A$2:$A$4,SLA_Table!$B$2:$B$4)</f>
        <v>10</v>
      </c>
      <c r="L211" s="6">
        <f t="shared" si="15"/>
        <v>6</v>
      </c>
      <c r="M211" s="6" t="str">
        <f t="shared" si="16"/>
        <v>Yes</v>
      </c>
      <c r="N211" s="11">
        <f t="shared" si="17"/>
        <v>46300</v>
      </c>
      <c r="O211" s="9">
        <f t="shared" si="18"/>
        <v>46307</v>
      </c>
      <c r="P211" s="28" t="str">
        <f>IF(D211="Open",KPI!$K$13-B211,"")</f>
        <v/>
      </c>
      <c r="Q211" s="24" t="str">
        <f t="shared" si="19"/>
        <v/>
      </c>
    </row>
    <row r="212" spans="1:17">
      <c r="A212" s="2" t="s">
        <v>275</v>
      </c>
      <c r="B212" s="4">
        <v>46306</v>
      </c>
      <c r="C212" s="4">
        <v>46307</v>
      </c>
      <c r="D212" s="2" t="s">
        <v>25</v>
      </c>
      <c r="E212" s="2" t="s">
        <v>43</v>
      </c>
      <c r="F212" s="2" t="s">
        <v>38</v>
      </c>
      <c r="G212" s="2" t="s">
        <v>28</v>
      </c>
      <c r="H212" s="2" t="s">
        <v>54</v>
      </c>
      <c r="I212" s="2"/>
      <c r="K212" s="6">
        <f>_xlfn.XLOOKUP(Cases_Tbl[[#This Row],[Priority]],SLA_Table!$A$2:$A$4,SLA_Table!$B$2:$B$4)</f>
        <v>2</v>
      </c>
      <c r="L212" s="6">
        <f t="shared" si="15"/>
        <v>1</v>
      </c>
      <c r="M212" s="6" t="str">
        <f t="shared" si="16"/>
        <v>Yes</v>
      </c>
      <c r="N212" s="11">
        <f t="shared" si="17"/>
        <v>46300</v>
      </c>
      <c r="O212" s="9">
        <f t="shared" si="18"/>
        <v>46307</v>
      </c>
      <c r="P212" s="28" t="str">
        <f>IF(D212="Open",KPI!$K$13-B212,"")</f>
        <v/>
      </c>
      <c r="Q212" s="24" t="str">
        <f t="shared" si="19"/>
        <v/>
      </c>
    </row>
    <row r="213" spans="1:17">
      <c r="A213" s="2" t="s">
        <v>276</v>
      </c>
      <c r="B213" s="4">
        <v>46306</v>
      </c>
      <c r="C213" s="4">
        <v>46319</v>
      </c>
      <c r="D213" s="2" t="s">
        <v>25</v>
      </c>
      <c r="E213" s="2" t="s">
        <v>35</v>
      </c>
      <c r="F213" s="2" t="s">
        <v>27</v>
      </c>
      <c r="G213" s="2" t="s">
        <v>32</v>
      </c>
      <c r="H213" s="2" t="s">
        <v>48</v>
      </c>
      <c r="I213" s="2" t="s">
        <v>55</v>
      </c>
      <c r="K213" s="6">
        <f>_xlfn.XLOOKUP(Cases_Tbl[[#This Row],[Priority]],SLA_Table!$A$2:$A$4,SLA_Table!$B$2:$B$4)</f>
        <v>10</v>
      </c>
      <c r="L213" s="6">
        <f t="shared" si="15"/>
        <v>13</v>
      </c>
      <c r="M213" s="6" t="str">
        <f t="shared" si="16"/>
        <v>No</v>
      </c>
      <c r="N213" s="11">
        <f t="shared" si="17"/>
        <v>46300</v>
      </c>
      <c r="O213" s="9">
        <f t="shared" si="18"/>
        <v>46314</v>
      </c>
      <c r="P213" s="28" t="str">
        <f>IF(D213="Open",KPI!$K$13-B213,"")</f>
        <v/>
      </c>
      <c r="Q213" s="24" t="str">
        <f t="shared" si="19"/>
        <v/>
      </c>
    </row>
    <row r="214" spans="1:17">
      <c r="A214" s="2" t="s">
        <v>277</v>
      </c>
      <c r="B214" s="4">
        <v>46306</v>
      </c>
      <c r="C214" s="4">
        <v>46315</v>
      </c>
      <c r="D214" s="2" t="s">
        <v>25</v>
      </c>
      <c r="E214" s="2" t="s">
        <v>35</v>
      </c>
      <c r="F214" s="2" t="s">
        <v>31</v>
      </c>
      <c r="G214" s="2" t="s">
        <v>39</v>
      </c>
      <c r="H214" s="2" t="s">
        <v>33</v>
      </c>
      <c r="I214" s="2"/>
      <c r="K214" s="6">
        <f>_xlfn.XLOOKUP(Cases_Tbl[[#This Row],[Priority]],SLA_Table!$A$2:$A$4,SLA_Table!$B$2:$B$4)</f>
        <v>10</v>
      </c>
      <c r="L214" s="6">
        <f t="shared" si="15"/>
        <v>9</v>
      </c>
      <c r="M214" s="6" t="str">
        <f t="shared" si="16"/>
        <v>Yes</v>
      </c>
      <c r="N214" s="11">
        <f t="shared" si="17"/>
        <v>46300</v>
      </c>
      <c r="O214" s="9">
        <f t="shared" si="18"/>
        <v>46314</v>
      </c>
      <c r="P214" s="28" t="str">
        <f>IF(D214="Open",KPI!$K$13-B214,"")</f>
        <v/>
      </c>
      <c r="Q214" s="24" t="str">
        <f t="shared" si="19"/>
        <v/>
      </c>
    </row>
    <row r="215" spans="1:17">
      <c r="A215" s="2" t="s">
        <v>278</v>
      </c>
      <c r="B215" s="4">
        <v>46306</v>
      </c>
      <c r="C215" s="4">
        <v>46307</v>
      </c>
      <c r="D215" s="2" t="s">
        <v>25</v>
      </c>
      <c r="E215" s="2" t="s">
        <v>26</v>
      </c>
      <c r="F215" s="2" t="s">
        <v>41</v>
      </c>
      <c r="G215" s="2" t="s">
        <v>39</v>
      </c>
      <c r="H215" s="2" t="s">
        <v>44</v>
      </c>
      <c r="I215" s="2"/>
      <c r="K215" s="6">
        <f>_xlfn.XLOOKUP(Cases_Tbl[[#This Row],[Priority]],SLA_Table!$A$2:$A$4,SLA_Table!$B$2:$B$4)</f>
        <v>5</v>
      </c>
      <c r="L215" s="6">
        <f t="shared" si="15"/>
        <v>1</v>
      </c>
      <c r="M215" s="6" t="str">
        <f t="shared" si="16"/>
        <v>Yes</v>
      </c>
      <c r="N215" s="11">
        <f t="shared" si="17"/>
        <v>46300</v>
      </c>
      <c r="O215" s="9">
        <f t="shared" si="18"/>
        <v>46307</v>
      </c>
      <c r="P215" s="28" t="str">
        <f>IF(D215="Open",KPI!$K$13-B215,"")</f>
        <v/>
      </c>
      <c r="Q215" s="24" t="str">
        <f t="shared" si="19"/>
        <v/>
      </c>
    </row>
    <row r="216" spans="1:17">
      <c r="A216" s="2" t="s">
        <v>279</v>
      </c>
      <c r="B216" s="4">
        <v>46306</v>
      </c>
      <c r="C216" s="4">
        <v>46311</v>
      </c>
      <c r="D216" s="2" t="s">
        <v>25</v>
      </c>
      <c r="E216" s="2" t="s">
        <v>26</v>
      </c>
      <c r="F216" s="2" t="s">
        <v>47</v>
      </c>
      <c r="G216" s="2" t="s">
        <v>32</v>
      </c>
      <c r="H216" s="2" t="s">
        <v>36</v>
      </c>
      <c r="I216" s="2"/>
      <c r="K216" s="6">
        <f>_xlfn.XLOOKUP(Cases_Tbl[[#This Row],[Priority]],SLA_Table!$A$2:$A$4,SLA_Table!$B$2:$B$4)</f>
        <v>5</v>
      </c>
      <c r="L216" s="6">
        <f t="shared" si="15"/>
        <v>5</v>
      </c>
      <c r="M216" s="6" t="str">
        <f t="shared" si="16"/>
        <v>Yes</v>
      </c>
      <c r="N216" s="11">
        <f t="shared" si="17"/>
        <v>46300</v>
      </c>
      <c r="O216" s="9">
        <f t="shared" si="18"/>
        <v>46307</v>
      </c>
      <c r="P216" s="28" t="str">
        <f>IF(D216="Open",KPI!$K$13-B216,"")</f>
        <v/>
      </c>
      <c r="Q216" s="24" t="str">
        <f t="shared" si="19"/>
        <v/>
      </c>
    </row>
    <row r="217" spans="1:17">
      <c r="A217" s="2" t="s">
        <v>280</v>
      </c>
      <c r="B217" s="4">
        <v>46306</v>
      </c>
      <c r="C217" s="4">
        <v>46315</v>
      </c>
      <c r="D217" s="2" t="s">
        <v>25</v>
      </c>
      <c r="E217" s="2" t="s">
        <v>26</v>
      </c>
      <c r="F217" s="2" t="s">
        <v>31</v>
      </c>
      <c r="G217" s="2" t="s">
        <v>32</v>
      </c>
      <c r="H217" s="2" t="s">
        <v>33</v>
      </c>
      <c r="I217" s="6" t="s">
        <v>398</v>
      </c>
      <c r="K217" s="6">
        <f>_xlfn.XLOOKUP(Cases_Tbl[[#This Row],[Priority]],SLA_Table!$A$2:$A$4,SLA_Table!$B$2:$B$4)</f>
        <v>5</v>
      </c>
      <c r="L217" s="6">
        <f t="shared" si="15"/>
        <v>9</v>
      </c>
      <c r="M217" s="6" t="str">
        <f t="shared" si="16"/>
        <v>No</v>
      </c>
      <c r="N217" s="11">
        <f t="shared" si="17"/>
        <v>46300</v>
      </c>
      <c r="O217" s="9">
        <f t="shared" si="18"/>
        <v>46314</v>
      </c>
      <c r="P217" s="28" t="str">
        <f>IF(D217="Open",KPI!$K$13-B217,"")</f>
        <v/>
      </c>
      <c r="Q217" s="24" t="str">
        <f t="shared" si="19"/>
        <v/>
      </c>
    </row>
    <row r="218" spans="1:17">
      <c r="A218" s="2" t="s">
        <v>281</v>
      </c>
      <c r="B218" s="4">
        <v>46307</v>
      </c>
      <c r="C218" s="4">
        <v>46312</v>
      </c>
      <c r="D218" s="2" t="s">
        <v>25</v>
      </c>
      <c r="E218" s="2" t="s">
        <v>26</v>
      </c>
      <c r="F218" s="2" t="s">
        <v>27</v>
      </c>
      <c r="G218" s="2" t="s">
        <v>28</v>
      </c>
      <c r="H218" s="2" t="s">
        <v>29</v>
      </c>
      <c r="I218" s="2"/>
      <c r="K218" s="6">
        <f>_xlfn.XLOOKUP(Cases_Tbl[[#This Row],[Priority]],SLA_Table!$A$2:$A$4,SLA_Table!$B$2:$B$4)</f>
        <v>5</v>
      </c>
      <c r="L218" s="6">
        <f t="shared" si="15"/>
        <v>5</v>
      </c>
      <c r="M218" s="6" t="str">
        <f t="shared" si="16"/>
        <v>Yes</v>
      </c>
      <c r="N218" s="11">
        <f t="shared" si="17"/>
        <v>46307</v>
      </c>
      <c r="O218" s="9">
        <f t="shared" si="18"/>
        <v>46307</v>
      </c>
      <c r="P218" s="28" t="str">
        <f>IF(D218="Open",KPI!$K$13-B218,"")</f>
        <v/>
      </c>
      <c r="Q218" s="24" t="str">
        <f t="shared" si="19"/>
        <v/>
      </c>
    </row>
    <row r="219" spans="1:17">
      <c r="A219" s="2" t="s">
        <v>282</v>
      </c>
      <c r="B219" s="4">
        <v>46307</v>
      </c>
      <c r="C219" s="4">
        <v>46310</v>
      </c>
      <c r="D219" s="2" t="s">
        <v>25</v>
      </c>
      <c r="E219" s="2" t="s">
        <v>26</v>
      </c>
      <c r="F219" s="2" t="s">
        <v>31</v>
      </c>
      <c r="G219" s="2" t="s">
        <v>39</v>
      </c>
      <c r="H219" s="2" t="s">
        <v>48</v>
      </c>
      <c r="I219" s="2"/>
      <c r="K219" s="6">
        <f>_xlfn.XLOOKUP(Cases_Tbl[[#This Row],[Priority]],SLA_Table!$A$2:$A$4,SLA_Table!$B$2:$B$4)</f>
        <v>5</v>
      </c>
      <c r="L219" s="6">
        <f t="shared" si="15"/>
        <v>3</v>
      </c>
      <c r="M219" s="6" t="str">
        <f t="shared" si="16"/>
        <v>Yes</v>
      </c>
      <c r="N219" s="11">
        <f t="shared" si="17"/>
        <v>46307</v>
      </c>
      <c r="O219" s="9">
        <f t="shared" si="18"/>
        <v>46307</v>
      </c>
      <c r="P219" s="28" t="str">
        <f>IF(D219="Open",KPI!$K$13-B219,"")</f>
        <v/>
      </c>
      <c r="Q219" s="24" t="str">
        <f t="shared" si="19"/>
        <v/>
      </c>
    </row>
    <row r="220" spans="1:17">
      <c r="A220" s="2" t="s">
        <v>283</v>
      </c>
      <c r="B220" s="4">
        <v>46307</v>
      </c>
      <c r="C220" s="4">
        <v>46309</v>
      </c>
      <c r="D220" s="2" t="s">
        <v>25</v>
      </c>
      <c r="E220" s="2" t="s">
        <v>26</v>
      </c>
      <c r="F220" s="2" t="s">
        <v>47</v>
      </c>
      <c r="G220" s="2" t="s">
        <v>32</v>
      </c>
      <c r="H220" s="2" t="s">
        <v>36</v>
      </c>
      <c r="I220" s="2"/>
      <c r="K220" s="6">
        <f>_xlfn.XLOOKUP(Cases_Tbl[[#This Row],[Priority]],SLA_Table!$A$2:$A$4,SLA_Table!$B$2:$B$4)</f>
        <v>5</v>
      </c>
      <c r="L220" s="6">
        <f t="shared" si="15"/>
        <v>2</v>
      </c>
      <c r="M220" s="6" t="str">
        <f t="shared" si="16"/>
        <v>Yes</v>
      </c>
      <c r="N220" s="11">
        <f t="shared" si="17"/>
        <v>46307</v>
      </c>
      <c r="O220" s="9">
        <f t="shared" si="18"/>
        <v>46307</v>
      </c>
      <c r="P220" s="28" t="str">
        <f>IF(D220="Open",KPI!$K$13-B220,"")</f>
        <v/>
      </c>
      <c r="Q220" s="24" t="str">
        <f t="shared" si="19"/>
        <v/>
      </c>
    </row>
    <row r="221" spans="1:17">
      <c r="A221" s="2" t="s">
        <v>284</v>
      </c>
      <c r="B221" s="4">
        <v>46307</v>
      </c>
      <c r="C221" s="4">
        <v>46309</v>
      </c>
      <c r="D221" s="2" t="s">
        <v>25</v>
      </c>
      <c r="E221" s="2" t="s">
        <v>26</v>
      </c>
      <c r="F221" s="2" t="s">
        <v>47</v>
      </c>
      <c r="G221" s="2" t="s">
        <v>28</v>
      </c>
      <c r="H221" s="2" t="s">
        <v>54</v>
      </c>
      <c r="I221" s="2"/>
      <c r="K221" s="6">
        <f>_xlfn.XLOOKUP(Cases_Tbl[[#This Row],[Priority]],SLA_Table!$A$2:$A$4,SLA_Table!$B$2:$B$4)</f>
        <v>5</v>
      </c>
      <c r="L221" s="6">
        <f t="shared" si="15"/>
        <v>2</v>
      </c>
      <c r="M221" s="6" t="str">
        <f t="shared" si="16"/>
        <v>Yes</v>
      </c>
      <c r="N221" s="11">
        <f t="shared" si="17"/>
        <v>46307</v>
      </c>
      <c r="O221" s="9">
        <f t="shared" si="18"/>
        <v>46307</v>
      </c>
      <c r="P221" s="28" t="str">
        <f>IF(D221="Open",KPI!$K$13-B221,"")</f>
        <v/>
      </c>
      <c r="Q221" s="24" t="str">
        <f t="shared" si="19"/>
        <v/>
      </c>
    </row>
    <row r="222" spans="1:17">
      <c r="A222" s="2" t="s">
        <v>285</v>
      </c>
      <c r="B222" s="4">
        <v>46307</v>
      </c>
      <c r="C222" s="4">
        <v>46311</v>
      </c>
      <c r="D222" s="2" t="s">
        <v>25</v>
      </c>
      <c r="E222" s="2" t="s">
        <v>26</v>
      </c>
      <c r="F222" s="2" t="s">
        <v>47</v>
      </c>
      <c r="G222" s="2" t="s">
        <v>28</v>
      </c>
      <c r="H222" s="2" t="s">
        <v>36</v>
      </c>
      <c r="I222" s="2"/>
      <c r="K222" s="6">
        <f>_xlfn.XLOOKUP(Cases_Tbl[[#This Row],[Priority]],SLA_Table!$A$2:$A$4,SLA_Table!$B$2:$B$4)</f>
        <v>5</v>
      </c>
      <c r="L222" s="6">
        <f t="shared" si="15"/>
        <v>4</v>
      </c>
      <c r="M222" s="6" t="str">
        <f t="shared" si="16"/>
        <v>Yes</v>
      </c>
      <c r="N222" s="11">
        <f t="shared" si="17"/>
        <v>46307</v>
      </c>
      <c r="O222" s="9">
        <f t="shared" si="18"/>
        <v>46307</v>
      </c>
      <c r="P222" s="28" t="str">
        <f>IF(D222="Open",KPI!$K$13-B222,"")</f>
        <v/>
      </c>
      <c r="Q222" s="24" t="str">
        <f t="shared" si="19"/>
        <v/>
      </c>
    </row>
    <row r="223" spans="1:17">
      <c r="A223" s="2" t="s">
        <v>286</v>
      </c>
      <c r="B223" s="4">
        <v>46308</v>
      </c>
      <c r="C223" s="4">
        <v>46305</v>
      </c>
      <c r="D223" s="2" t="s">
        <v>25</v>
      </c>
      <c r="E223" s="2" t="s">
        <v>35</v>
      </c>
      <c r="F223" s="2" t="s">
        <v>41</v>
      </c>
      <c r="G223" s="2" t="s">
        <v>32</v>
      </c>
      <c r="H223" s="2" t="s">
        <v>44</v>
      </c>
      <c r="I223" s="2"/>
      <c r="J223" t="s">
        <v>407</v>
      </c>
      <c r="K223" s="6">
        <f>_xlfn.XLOOKUP(Cases_Tbl[[#This Row],[Priority]],SLA_Table!$A$2:$A$4,SLA_Table!$B$2:$B$4)</f>
        <v>10</v>
      </c>
      <c r="L223" s="6" t="str">
        <f t="shared" si="15"/>
        <v/>
      </c>
      <c r="M223" s="6" t="str">
        <f t="shared" si="16"/>
        <v/>
      </c>
      <c r="N223" s="11">
        <f t="shared" si="17"/>
        <v>46307</v>
      </c>
      <c r="O223" s="9">
        <f t="shared" si="18"/>
        <v>46300</v>
      </c>
      <c r="P223" s="28" t="str">
        <f>IF(D223="Open",KPI!$K$13-B223,"")</f>
        <v/>
      </c>
      <c r="Q223" s="24" t="str">
        <f t="shared" si="19"/>
        <v/>
      </c>
    </row>
    <row r="224" spans="1:17">
      <c r="A224" s="2" t="s">
        <v>287</v>
      </c>
      <c r="B224" s="4">
        <v>46308</v>
      </c>
      <c r="C224" s="4">
        <v>46312</v>
      </c>
      <c r="D224" s="2" t="s">
        <v>25</v>
      </c>
      <c r="E224" s="2" t="s">
        <v>26</v>
      </c>
      <c r="F224" s="2" t="s">
        <v>31</v>
      </c>
      <c r="G224" s="2" t="s">
        <v>28</v>
      </c>
      <c r="H224" s="2" t="s">
        <v>33</v>
      </c>
      <c r="I224" s="2"/>
      <c r="K224" s="6">
        <f>_xlfn.XLOOKUP(Cases_Tbl[[#This Row],[Priority]],SLA_Table!$A$2:$A$4,SLA_Table!$B$2:$B$4)</f>
        <v>5</v>
      </c>
      <c r="L224" s="6">
        <f t="shared" si="15"/>
        <v>4</v>
      </c>
      <c r="M224" s="6" t="str">
        <f t="shared" si="16"/>
        <v>Yes</v>
      </c>
      <c r="N224" s="11">
        <f t="shared" si="17"/>
        <v>46307</v>
      </c>
      <c r="O224" s="9">
        <f t="shared" si="18"/>
        <v>46307</v>
      </c>
      <c r="P224" s="28" t="str">
        <f>IF(D224="Open",KPI!$K$13-B224,"")</f>
        <v/>
      </c>
      <c r="Q224" s="24" t="str">
        <f t="shared" si="19"/>
        <v/>
      </c>
    </row>
    <row r="225" spans="1:17">
      <c r="A225" s="2" t="s">
        <v>288</v>
      </c>
      <c r="B225" s="4">
        <v>46308</v>
      </c>
      <c r="C225" s="4">
        <v>46313</v>
      </c>
      <c r="D225" s="2" t="s">
        <v>25</v>
      </c>
      <c r="E225" s="2" t="s">
        <v>26</v>
      </c>
      <c r="F225" s="2" t="s">
        <v>31</v>
      </c>
      <c r="G225" s="2" t="s">
        <v>39</v>
      </c>
      <c r="H225" s="2" t="s">
        <v>33</v>
      </c>
      <c r="I225" s="2"/>
      <c r="K225" s="6">
        <f>_xlfn.XLOOKUP(Cases_Tbl[[#This Row],[Priority]],SLA_Table!$A$2:$A$4,SLA_Table!$B$2:$B$4)</f>
        <v>5</v>
      </c>
      <c r="L225" s="6">
        <f t="shared" si="15"/>
        <v>5</v>
      </c>
      <c r="M225" s="6" t="str">
        <f t="shared" si="16"/>
        <v>Yes</v>
      </c>
      <c r="N225" s="11">
        <f t="shared" si="17"/>
        <v>46307</v>
      </c>
      <c r="O225" s="9">
        <f t="shared" si="18"/>
        <v>46307</v>
      </c>
      <c r="P225" s="28" t="str">
        <f>IF(D225="Open",KPI!$K$13-B225,"")</f>
        <v/>
      </c>
      <c r="Q225" s="24" t="str">
        <f t="shared" si="19"/>
        <v/>
      </c>
    </row>
    <row r="226" spans="1:17">
      <c r="A226" s="2" t="s">
        <v>289</v>
      </c>
      <c r="B226" s="4">
        <v>46308</v>
      </c>
      <c r="C226" s="4">
        <v>46309</v>
      </c>
      <c r="D226" s="2" t="s">
        <v>25</v>
      </c>
      <c r="E226" s="2" t="s">
        <v>26</v>
      </c>
      <c r="F226" s="2" t="s">
        <v>27</v>
      </c>
      <c r="G226" s="2" t="s">
        <v>39</v>
      </c>
      <c r="H226" s="2" t="s">
        <v>36</v>
      </c>
      <c r="I226" s="2"/>
      <c r="K226" s="6">
        <f>_xlfn.XLOOKUP(Cases_Tbl[[#This Row],[Priority]],SLA_Table!$A$2:$A$4,SLA_Table!$B$2:$B$4)</f>
        <v>5</v>
      </c>
      <c r="L226" s="6">
        <f t="shared" si="15"/>
        <v>1</v>
      </c>
      <c r="M226" s="6" t="str">
        <f t="shared" si="16"/>
        <v>Yes</v>
      </c>
      <c r="N226" s="11">
        <f t="shared" si="17"/>
        <v>46307</v>
      </c>
      <c r="O226" s="9">
        <f t="shared" si="18"/>
        <v>46307</v>
      </c>
      <c r="P226" s="28" t="str">
        <f>IF(D226="Open",KPI!$K$13-B226,"")</f>
        <v/>
      </c>
      <c r="Q226" s="24" t="str">
        <f t="shared" si="19"/>
        <v/>
      </c>
    </row>
    <row r="227" spans="1:17">
      <c r="A227" s="2" t="s">
        <v>290</v>
      </c>
      <c r="B227" s="4">
        <v>46308</v>
      </c>
      <c r="C227" s="4">
        <v>46310</v>
      </c>
      <c r="D227" s="2" t="s">
        <v>25</v>
      </c>
      <c r="E227" s="2" t="s">
        <v>43</v>
      </c>
      <c r="F227" s="2" t="s">
        <v>31</v>
      </c>
      <c r="G227" s="2" t="s">
        <v>39</v>
      </c>
      <c r="H227" s="2" t="s">
        <v>44</v>
      </c>
      <c r="I227" s="2"/>
      <c r="K227" s="6">
        <f>_xlfn.XLOOKUP(Cases_Tbl[[#This Row],[Priority]],SLA_Table!$A$2:$A$4,SLA_Table!$B$2:$B$4)</f>
        <v>2</v>
      </c>
      <c r="L227" s="6">
        <f t="shared" si="15"/>
        <v>2</v>
      </c>
      <c r="M227" s="6" t="str">
        <f t="shared" si="16"/>
        <v>Yes</v>
      </c>
      <c r="N227" s="11">
        <f t="shared" si="17"/>
        <v>46307</v>
      </c>
      <c r="O227" s="9">
        <f t="shared" si="18"/>
        <v>46307</v>
      </c>
      <c r="P227" s="28" t="str">
        <f>IF(D227="Open",KPI!$K$13-B227,"")</f>
        <v/>
      </c>
      <c r="Q227" s="24" t="str">
        <f t="shared" si="19"/>
        <v/>
      </c>
    </row>
    <row r="228" spans="1:17">
      <c r="A228" s="2" t="s">
        <v>291</v>
      </c>
      <c r="B228" s="4">
        <v>46309</v>
      </c>
      <c r="C228" s="4">
        <v>46310</v>
      </c>
      <c r="D228" s="2" t="s">
        <v>25</v>
      </c>
      <c r="E228" s="2" t="s">
        <v>26</v>
      </c>
      <c r="F228" s="2" t="s">
        <v>47</v>
      </c>
      <c r="G228" s="2" t="s">
        <v>32</v>
      </c>
      <c r="H228" s="2" t="s">
        <v>36</v>
      </c>
      <c r="I228" s="2"/>
      <c r="K228" s="6">
        <f>_xlfn.XLOOKUP(Cases_Tbl[[#This Row],[Priority]],SLA_Table!$A$2:$A$4,SLA_Table!$B$2:$B$4)</f>
        <v>5</v>
      </c>
      <c r="L228" s="6">
        <f t="shared" si="15"/>
        <v>1</v>
      </c>
      <c r="M228" s="6" t="str">
        <f t="shared" si="16"/>
        <v>Yes</v>
      </c>
      <c r="N228" s="11">
        <f t="shared" si="17"/>
        <v>46307</v>
      </c>
      <c r="O228" s="9">
        <f t="shared" si="18"/>
        <v>46307</v>
      </c>
      <c r="P228" s="28" t="str">
        <f>IF(D228="Open",KPI!$K$13-B228,"")</f>
        <v/>
      </c>
      <c r="Q228" s="24" t="str">
        <f t="shared" si="19"/>
        <v/>
      </c>
    </row>
    <row r="229" spans="1:17">
      <c r="A229" s="2" t="s">
        <v>292</v>
      </c>
      <c r="B229" s="4">
        <v>46309</v>
      </c>
      <c r="C229" s="4">
        <v>46315</v>
      </c>
      <c r="D229" s="2" t="s">
        <v>25</v>
      </c>
      <c r="E229" s="2" t="s">
        <v>35</v>
      </c>
      <c r="F229" s="2" t="s">
        <v>41</v>
      </c>
      <c r="G229" s="2" t="s">
        <v>32</v>
      </c>
      <c r="H229" s="2" t="s">
        <v>48</v>
      </c>
      <c r="I229" s="2"/>
      <c r="K229" s="6">
        <f>_xlfn.XLOOKUP(Cases_Tbl[[#This Row],[Priority]],SLA_Table!$A$2:$A$4,SLA_Table!$B$2:$B$4)</f>
        <v>10</v>
      </c>
      <c r="L229" s="6">
        <f t="shared" si="15"/>
        <v>6</v>
      </c>
      <c r="M229" s="6" t="str">
        <f t="shared" si="16"/>
        <v>Yes</v>
      </c>
      <c r="N229" s="11">
        <f t="shared" si="17"/>
        <v>46307</v>
      </c>
      <c r="O229" s="9">
        <f t="shared" si="18"/>
        <v>46314</v>
      </c>
      <c r="P229" s="28" t="str">
        <f>IF(D229="Open",KPI!$K$13-B229,"")</f>
        <v/>
      </c>
      <c r="Q229" s="24" t="str">
        <f t="shared" si="19"/>
        <v/>
      </c>
    </row>
    <row r="230" spans="1:17">
      <c r="A230" s="2" t="s">
        <v>293</v>
      </c>
      <c r="B230" s="4">
        <v>46309</v>
      </c>
      <c r="C230" s="4">
        <v>46310</v>
      </c>
      <c r="D230" s="2" t="s">
        <v>25</v>
      </c>
      <c r="E230" s="2" t="s">
        <v>26</v>
      </c>
      <c r="F230" s="2" t="s">
        <v>31</v>
      </c>
      <c r="G230" s="2" t="s">
        <v>39</v>
      </c>
      <c r="H230" s="2" t="s">
        <v>36</v>
      </c>
      <c r="I230" s="2"/>
      <c r="K230" s="6">
        <f>_xlfn.XLOOKUP(Cases_Tbl[[#This Row],[Priority]],SLA_Table!$A$2:$A$4,SLA_Table!$B$2:$B$4)</f>
        <v>5</v>
      </c>
      <c r="L230" s="6">
        <f t="shared" si="15"/>
        <v>1</v>
      </c>
      <c r="M230" s="6" t="str">
        <f t="shared" si="16"/>
        <v>Yes</v>
      </c>
      <c r="N230" s="11">
        <f t="shared" si="17"/>
        <v>46307</v>
      </c>
      <c r="O230" s="9">
        <f t="shared" si="18"/>
        <v>46307</v>
      </c>
      <c r="P230" s="28" t="str">
        <f>IF(D230="Open",KPI!$K$13-B230,"")</f>
        <v/>
      </c>
      <c r="Q230" s="24" t="str">
        <f t="shared" si="19"/>
        <v/>
      </c>
    </row>
    <row r="231" spans="1:17">
      <c r="A231" s="2" t="s">
        <v>294</v>
      </c>
      <c r="B231" s="4">
        <v>46309</v>
      </c>
      <c r="C231" s="4">
        <v>46319</v>
      </c>
      <c r="D231" s="2" t="s">
        <v>25</v>
      </c>
      <c r="E231" s="2" t="s">
        <v>35</v>
      </c>
      <c r="F231" s="2" t="s">
        <v>38</v>
      </c>
      <c r="G231" s="2" t="s">
        <v>32</v>
      </c>
      <c r="H231" s="2" t="s">
        <v>33</v>
      </c>
      <c r="I231" s="2"/>
      <c r="K231" s="6">
        <f>_xlfn.XLOOKUP(Cases_Tbl[[#This Row],[Priority]],SLA_Table!$A$2:$A$4,SLA_Table!$B$2:$B$4)</f>
        <v>10</v>
      </c>
      <c r="L231" s="6">
        <f t="shared" si="15"/>
        <v>10</v>
      </c>
      <c r="M231" s="6" t="str">
        <f t="shared" si="16"/>
        <v>Yes</v>
      </c>
      <c r="N231" s="11">
        <f t="shared" si="17"/>
        <v>46307</v>
      </c>
      <c r="O231" s="9">
        <f t="shared" si="18"/>
        <v>46314</v>
      </c>
      <c r="P231" s="28" t="str">
        <f>IF(D231="Open",KPI!$K$13-B231,"")</f>
        <v/>
      </c>
      <c r="Q231" s="24" t="str">
        <f t="shared" si="19"/>
        <v/>
      </c>
    </row>
    <row r="232" spans="1:17">
      <c r="A232" s="2" t="s">
        <v>295</v>
      </c>
      <c r="B232" s="4">
        <v>46309</v>
      </c>
      <c r="C232" s="4">
        <v>46320</v>
      </c>
      <c r="D232" s="2" t="s">
        <v>25</v>
      </c>
      <c r="E232" s="2" t="s">
        <v>26</v>
      </c>
      <c r="F232" s="2" t="s">
        <v>31</v>
      </c>
      <c r="G232" s="2" t="s">
        <v>39</v>
      </c>
      <c r="H232" s="2" t="s">
        <v>44</v>
      </c>
      <c r="I232" s="2" t="s">
        <v>52</v>
      </c>
      <c r="K232" s="6">
        <f>_xlfn.XLOOKUP(Cases_Tbl[[#This Row],[Priority]],SLA_Table!$A$2:$A$4,SLA_Table!$B$2:$B$4)</f>
        <v>5</v>
      </c>
      <c r="L232" s="6">
        <f t="shared" si="15"/>
        <v>11</v>
      </c>
      <c r="M232" s="6" t="str">
        <f t="shared" si="16"/>
        <v>No</v>
      </c>
      <c r="N232" s="11">
        <f t="shared" si="17"/>
        <v>46307</v>
      </c>
      <c r="O232" s="9">
        <f t="shared" si="18"/>
        <v>46314</v>
      </c>
      <c r="P232" s="28" t="str">
        <f>IF(D232="Open",KPI!$K$13-B232,"")</f>
        <v/>
      </c>
      <c r="Q232" s="24" t="str">
        <f t="shared" si="19"/>
        <v/>
      </c>
    </row>
    <row r="233" spans="1:17">
      <c r="A233" s="2" t="s">
        <v>296</v>
      </c>
      <c r="B233" s="4">
        <v>46310</v>
      </c>
      <c r="C233" s="2"/>
      <c r="D233" s="2" t="s">
        <v>268</v>
      </c>
      <c r="E233" s="2" t="s">
        <v>26</v>
      </c>
      <c r="F233" s="2" t="s">
        <v>31</v>
      </c>
      <c r="G233" s="2" t="s">
        <v>39</v>
      </c>
      <c r="H233" s="2" t="s">
        <v>44</v>
      </c>
      <c r="I233" s="2" t="s">
        <v>55</v>
      </c>
      <c r="K233" s="6">
        <f>_xlfn.XLOOKUP(Cases_Tbl[[#This Row],[Priority]],SLA_Table!$A$2:$A$4,SLA_Table!$B$2:$B$4)</f>
        <v>5</v>
      </c>
      <c r="L233" s="6" t="str">
        <f t="shared" si="15"/>
        <v/>
      </c>
      <c r="M233" s="6" t="str">
        <f t="shared" si="16"/>
        <v/>
      </c>
      <c r="N233" s="11">
        <f t="shared" si="17"/>
        <v>46307</v>
      </c>
      <c r="O233" s="9" t="str">
        <f t="shared" si="18"/>
        <v/>
      </c>
      <c r="P233" s="28">
        <f>IF(D233="Open",KPI!$K$13-B233,"")</f>
        <v>15</v>
      </c>
      <c r="Q233" s="24" t="str">
        <f t="shared" si="19"/>
        <v>Yes</v>
      </c>
    </row>
    <row r="234" spans="1:17">
      <c r="A234" s="2" t="s">
        <v>297</v>
      </c>
      <c r="B234" s="4">
        <v>46310</v>
      </c>
      <c r="C234" s="4">
        <v>46315</v>
      </c>
      <c r="D234" s="2" t="s">
        <v>25</v>
      </c>
      <c r="E234" s="2" t="s">
        <v>26</v>
      </c>
      <c r="F234" s="2" t="s">
        <v>31</v>
      </c>
      <c r="G234" s="2" t="s">
        <v>32</v>
      </c>
      <c r="H234" s="2" t="s">
        <v>29</v>
      </c>
      <c r="I234" s="2"/>
      <c r="K234" s="6">
        <f>_xlfn.XLOOKUP(Cases_Tbl[[#This Row],[Priority]],SLA_Table!$A$2:$A$4,SLA_Table!$B$2:$B$4)</f>
        <v>5</v>
      </c>
      <c r="L234" s="6">
        <f t="shared" si="15"/>
        <v>5</v>
      </c>
      <c r="M234" s="6" t="str">
        <f t="shared" si="16"/>
        <v>Yes</v>
      </c>
      <c r="N234" s="11">
        <f t="shared" si="17"/>
        <v>46307</v>
      </c>
      <c r="O234" s="9">
        <f t="shared" si="18"/>
        <v>46314</v>
      </c>
      <c r="P234" s="28" t="str">
        <f>IF(D234="Open",KPI!$K$13-B234,"")</f>
        <v/>
      </c>
      <c r="Q234" s="24" t="str">
        <f t="shared" si="19"/>
        <v/>
      </c>
    </row>
    <row r="235" spans="1:17">
      <c r="A235" s="2" t="s">
        <v>298</v>
      </c>
      <c r="B235" s="4">
        <v>46310</v>
      </c>
      <c r="C235" s="4">
        <v>46317</v>
      </c>
      <c r="D235" s="2" t="s">
        <v>25</v>
      </c>
      <c r="E235" s="2" t="s">
        <v>35</v>
      </c>
      <c r="F235" s="2" t="s">
        <v>47</v>
      </c>
      <c r="G235" s="2" t="s">
        <v>39</v>
      </c>
      <c r="H235" s="2" t="s">
        <v>44</v>
      </c>
      <c r="I235" s="2"/>
      <c r="K235" s="6">
        <f>_xlfn.XLOOKUP(Cases_Tbl[[#This Row],[Priority]],SLA_Table!$A$2:$A$4,SLA_Table!$B$2:$B$4)</f>
        <v>10</v>
      </c>
      <c r="L235" s="6">
        <f t="shared" si="15"/>
        <v>7</v>
      </c>
      <c r="M235" s="6" t="str">
        <f t="shared" si="16"/>
        <v>Yes</v>
      </c>
      <c r="N235" s="11">
        <f t="shared" si="17"/>
        <v>46307</v>
      </c>
      <c r="O235" s="9">
        <f t="shared" si="18"/>
        <v>46314</v>
      </c>
      <c r="P235" s="28" t="str">
        <f>IF(D235="Open",KPI!$K$13-B235,"")</f>
        <v/>
      </c>
      <c r="Q235" s="24" t="str">
        <f t="shared" si="19"/>
        <v/>
      </c>
    </row>
    <row r="236" spans="1:17">
      <c r="A236" s="2" t="s">
        <v>299</v>
      </c>
      <c r="B236" s="4">
        <v>46310</v>
      </c>
      <c r="C236" s="4">
        <v>46309</v>
      </c>
      <c r="D236" s="2" t="s">
        <v>25</v>
      </c>
      <c r="E236" s="2" t="s">
        <v>26</v>
      </c>
      <c r="F236" s="2" t="s">
        <v>41</v>
      </c>
      <c r="G236" s="2" t="s">
        <v>32</v>
      </c>
      <c r="H236" s="2" t="s">
        <v>54</v>
      </c>
      <c r="I236" s="2"/>
      <c r="J236" t="s">
        <v>407</v>
      </c>
      <c r="K236" s="6">
        <f>_xlfn.XLOOKUP(Cases_Tbl[[#This Row],[Priority]],SLA_Table!$A$2:$A$4,SLA_Table!$B$2:$B$4)</f>
        <v>5</v>
      </c>
      <c r="L236" s="6" t="str">
        <f t="shared" si="15"/>
        <v/>
      </c>
      <c r="M236" s="6" t="str">
        <f t="shared" si="16"/>
        <v/>
      </c>
      <c r="N236" s="11">
        <f t="shared" si="17"/>
        <v>46307</v>
      </c>
      <c r="O236" s="9">
        <f t="shared" si="18"/>
        <v>46307</v>
      </c>
      <c r="P236" s="28" t="str">
        <f>IF(D236="Open",KPI!$K$13-B236,"")</f>
        <v/>
      </c>
      <c r="Q236" s="24" t="str">
        <f t="shared" si="19"/>
        <v/>
      </c>
    </row>
    <row r="237" spans="1:17">
      <c r="A237" s="2" t="s">
        <v>300</v>
      </c>
      <c r="B237" s="4">
        <v>46310</v>
      </c>
      <c r="C237" s="4">
        <v>46318</v>
      </c>
      <c r="D237" s="2" t="s">
        <v>25</v>
      </c>
      <c r="E237" s="2" t="s">
        <v>35</v>
      </c>
      <c r="F237" s="2" t="s">
        <v>47</v>
      </c>
      <c r="G237" s="2" t="s">
        <v>32</v>
      </c>
      <c r="H237" s="2" t="s">
        <v>33</v>
      </c>
      <c r="I237" s="2"/>
      <c r="K237" s="6">
        <f>_xlfn.XLOOKUP(Cases_Tbl[[#This Row],[Priority]],SLA_Table!$A$2:$A$4,SLA_Table!$B$2:$B$4)</f>
        <v>10</v>
      </c>
      <c r="L237" s="6">
        <f t="shared" si="15"/>
        <v>8</v>
      </c>
      <c r="M237" s="6" t="str">
        <f t="shared" si="16"/>
        <v>Yes</v>
      </c>
      <c r="N237" s="11">
        <f t="shared" si="17"/>
        <v>46307</v>
      </c>
      <c r="O237" s="9">
        <f t="shared" si="18"/>
        <v>46314</v>
      </c>
      <c r="P237" s="28" t="str">
        <f>IF(D237="Open",KPI!$K$13-B237,"")</f>
        <v/>
      </c>
      <c r="Q237" s="24" t="str">
        <f t="shared" si="19"/>
        <v/>
      </c>
    </row>
    <row r="238" spans="1:17">
      <c r="A238" s="2" t="s">
        <v>301</v>
      </c>
      <c r="B238" s="4">
        <v>46310</v>
      </c>
      <c r="C238" s="4">
        <v>46314</v>
      </c>
      <c r="D238" s="2" t="s">
        <v>25</v>
      </c>
      <c r="E238" s="2" t="s">
        <v>26</v>
      </c>
      <c r="F238" s="2" t="s">
        <v>27</v>
      </c>
      <c r="G238" s="2" t="s">
        <v>32</v>
      </c>
      <c r="H238" s="2" t="s">
        <v>44</v>
      </c>
      <c r="I238" s="2"/>
      <c r="K238" s="6">
        <f>_xlfn.XLOOKUP(Cases_Tbl[[#This Row],[Priority]],SLA_Table!$A$2:$A$4,SLA_Table!$B$2:$B$4)</f>
        <v>5</v>
      </c>
      <c r="L238" s="6">
        <f t="shared" si="15"/>
        <v>4</v>
      </c>
      <c r="M238" s="6" t="str">
        <f t="shared" si="16"/>
        <v>Yes</v>
      </c>
      <c r="N238" s="11">
        <f t="shared" si="17"/>
        <v>46307</v>
      </c>
      <c r="O238" s="9">
        <f t="shared" si="18"/>
        <v>46314</v>
      </c>
      <c r="P238" s="28" t="str">
        <f>IF(D238="Open",KPI!$K$13-B238,"")</f>
        <v/>
      </c>
      <c r="Q238" s="24" t="str">
        <f t="shared" si="19"/>
        <v/>
      </c>
    </row>
    <row r="239" spans="1:17">
      <c r="A239" s="2" t="s">
        <v>302</v>
      </c>
      <c r="B239" s="4">
        <v>46311</v>
      </c>
      <c r="C239" s="4">
        <v>46318</v>
      </c>
      <c r="D239" s="2" t="s">
        <v>25</v>
      </c>
      <c r="E239" s="2" t="s">
        <v>35</v>
      </c>
      <c r="F239" s="2" t="s">
        <v>47</v>
      </c>
      <c r="G239" s="2" t="s">
        <v>39</v>
      </c>
      <c r="H239" s="2" t="s">
        <v>44</v>
      </c>
      <c r="I239" s="2"/>
      <c r="K239" s="6">
        <f>_xlfn.XLOOKUP(Cases_Tbl[[#This Row],[Priority]],SLA_Table!$A$2:$A$4,SLA_Table!$B$2:$B$4)</f>
        <v>10</v>
      </c>
      <c r="L239" s="6">
        <f t="shared" si="15"/>
        <v>7</v>
      </c>
      <c r="M239" s="6" t="str">
        <f t="shared" si="16"/>
        <v>Yes</v>
      </c>
      <c r="N239" s="11">
        <f t="shared" si="17"/>
        <v>46307</v>
      </c>
      <c r="O239" s="9">
        <f t="shared" si="18"/>
        <v>46314</v>
      </c>
      <c r="P239" s="28" t="str">
        <f>IF(D239="Open",KPI!$K$13-B239,"")</f>
        <v/>
      </c>
      <c r="Q239" s="24" t="str">
        <f t="shared" si="19"/>
        <v/>
      </c>
    </row>
    <row r="240" spans="1:17">
      <c r="A240" s="2" t="s">
        <v>303</v>
      </c>
      <c r="B240" s="4">
        <v>46311</v>
      </c>
      <c r="C240" s="4">
        <v>46316</v>
      </c>
      <c r="D240" s="2" t="s">
        <v>25</v>
      </c>
      <c r="E240" s="2" t="s">
        <v>26</v>
      </c>
      <c r="F240" s="2" t="s">
        <v>47</v>
      </c>
      <c r="G240" s="2" t="s">
        <v>32</v>
      </c>
      <c r="H240" s="2" t="s">
        <v>29</v>
      </c>
      <c r="I240" s="2"/>
      <c r="K240" s="6">
        <f>_xlfn.XLOOKUP(Cases_Tbl[[#This Row],[Priority]],SLA_Table!$A$2:$A$4,SLA_Table!$B$2:$B$4)</f>
        <v>5</v>
      </c>
      <c r="L240" s="6">
        <f t="shared" si="15"/>
        <v>5</v>
      </c>
      <c r="M240" s="6" t="str">
        <f t="shared" si="16"/>
        <v>Yes</v>
      </c>
      <c r="N240" s="11">
        <f t="shared" si="17"/>
        <v>46307</v>
      </c>
      <c r="O240" s="9">
        <f t="shared" si="18"/>
        <v>46314</v>
      </c>
      <c r="P240" s="28" t="str">
        <f>IF(D240="Open",KPI!$K$13-B240,"")</f>
        <v/>
      </c>
      <c r="Q240" s="24" t="str">
        <f t="shared" si="19"/>
        <v/>
      </c>
    </row>
    <row r="241" spans="1:17">
      <c r="A241" s="2" t="s">
        <v>304</v>
      </c>
      <c r="B241" s="4">
        <v>46311</v>
      </c>
      <c r="C241" s="4">
        <v>46313</v>
      </c>
      <c r="D241" s="2" t="s">
        <v>25</v>
      </c>
      <c r="E241" s="2" t="s">
        <v>43</v>
      </c>
      <c r="F241" s="2" t="s">
        <v>47</v>
      </c>
      <c r="G241" s="2" t="s">
        <v>28</v>
      </c>
      <c r="H241" s="2" t="s">
        <v>54</v>
      </c>
      <c r="I241" s="2"/>
      <c r="K241" s="6">
        <f>_xlfn.XLOOKUP(Cases_Tbl[[#This Row],[Priority]],SLA_Table!$A$2:$A$4,SLA_Table!$B$2:$B$4)</f>
        <v>2</v>
      </c>
      <c r="L241" s="6">
        <f t="shared" si="15"/>
        <v>2</v>
      </c>
      <c r="M241" s="6" t="str">
        <f t="shared" si="16"/>
        <v>Yes</v>
      </c>
      <c r="N241" s="11">
        <f t="shared" si="17"/>
        <v>46307</v>
      </c>
      <c r="O241" s="9">
        <f t="shared" si="18"/>
        <v>46307</v>
      </c>
      <c r="P241" s="28" t="str">
        <f>IF(D241="Open",KPI!$K$13-B241,"")</f>
        <v/>
      </c>
      <c r="Q241" s="24" t="str">
        <f t="shared" si="19"/>
        <v/>
      </c>
    </row>
    <row r="242" spans="1:17">
      <c r="A242" s="2" t="s">
        <v>305</v>
      </c>
      <c r="B242" s="4">
        <v>46312</v>
      </c>
      <c r="C242" s="2"/>
      <c r="D242" s="2" t="s">
        <v>268</v>
      </c>
      <c r="E242" s="2" t="s">
        <v>26</v>
      </c>
      <c r="F242" s="2" t="s">
        <v>38</v>
      </c>
      <c r="G242" s="2" t="s">
        <v>28</v>
      </c>
      <c r="H242" s="2" t="s">
        <v>29</v>
      </c>
      <c r="I242" s="2" t="s">
        <v>60</v>
      </c>
      <c r="K242" s="6">
        <f>_xlfn.XLOOKUP(Cases_Tbl[[#This Row],[Priority]],SLA_Table!$A$2:$A$4,SLA_Table!$B$2:$B$4)</f>
        <v>5</v>
      </c>
      <c r="L242" s="6" t="str">
        <f t="shared" si="15"/>
        <v/>
      </c>
      <c r="M242" s="6" t="str">
        <f t="shared" si="16"/>
        <v/>
      </c>
      <c r="N242" s="11">
        <f t="shared" si="17"/>
        <v>46307</v>
      </c>
      <c r="O242" s="9" t="str">
        <f t="shared" si="18"/>
        <v/>
      </c>
      <c r="P242" s="28">
        <f>IF(D242="Open",KPI!$K$13-B242,"")</f>
        <v>13</v>
      </c>
      <c r="Q242" s="24" t="str">
        <f t="shared" si="19"/>
        <v>Yes</v>
      </c>
    </row>
    <row r="243" spans="1:17">
      <c r="A243" s="2" t="s">
        <v>306</v>
      </c>
      <c r="B243" s="4">
        <v>46312</v>
      </c>
      <c r="C243" s="4">
        <v>46319</v>
      </c>
      <c r="D243" s="2" t="s">
        <v>25</v>
      </c>
      <c r="E243" s="2" t="s">
        <v>35</v>
      </c>
      <c r="F243" s="2" t="s">
        <v>38</v>
      </c>
      <c r="G243" s="2" t="s">
        <v>39</v>
      </c>
      <c r="H243" s="2" t="s">
        <v>29</v>
      </c>
      <c r="I243" s="2"/>
      <c r="K243" s="6">
        <f>_xlfn.XLOOKUP(Cases_Tbl[[#This Row],[Priority]],SLA_Table!$A$2:$A$4,SLA_Table!$B$2:$B$4)</f>
        <v>10</v>
      </c>
      <c r="L243" s="6">
        <f t="shared" si="15"/>
        <v>7</v>
      </c>
      <c r="M243" s="6" t="str">
        <f t="shared" si="16"/>
        <v>Yes</v>
      </c>
      <c r="N243" s="11">
        <f t="shared" si="17"/>
        <v>46307</v>
      </c>
      <c r="O243" s="9">
        <f t="shared" si="18"/>
        <v>46314</v>
      </c>
      <c r="P243" s="28" t="str">
        <f>IF(D243="Open",KPI!$K$13-B243,"")</f>
        <v/>
      </c>
      <c r="Q243" s="24" t="str">
        <f t="shared" si="19"/>
        <v/>
      </c>
    </row>
    <row r="244" spans="1:17">
      <c r="A244" s="2" t="s">
        <v>307</v>
      </c>
      <c r="B244" s="4">
        <v>46312</v>
      </c>
      <c r="C244" s="2"/>
      <c r="D244" s="2" t="s">
        <v>268</v>
      </c>
      <c r="E244" s="2" t="s">
        <v>35</v>
      </c>
      <c r="F244" s="2" t="s">
        <v>27</v>
      </c>
      <c r="G244" s="2" t="s">
        <v>28</v>
      </c>
      <c r="H244" s="2" t="s">
        <v>54</v>
      </c>
      <c r="I244" s="2"/>
      <c r="K244" s="6">
        <f>_xlfn.XLOOKUP(Cases_Tbl[[#This Row],[Priority]],SLA_Table!$A$2:$A$4,SLA_Table!$B$2:$B$4)</f>
        <v>10</v>
      </c>
      <c r="L244" s="6" t="str">
        <f t="shared" si="15"/>
        <v/>
      </c>
      <c r="M244" s="6" t="str">
        <f t="shared" si="16"/>
        <v/>
      </c>
      <c r="N244" s="11">
        <f t="shared" si="17"/>
        <v>46307</v>
      </c>
      <c r="O244" s="9" t="str">
        <f t="shared" si="18"/>
        <v/>
      </c>
      <c r="P244" s="28">
        <f>IF(D244="Open",KPI!$K$13-B244,"")</f>
        <v>13</v>
      </c>
      <c r="Q244" s="24" t="str">
        <f t="shared" si="19"/>
        <v>Yes</v>
      </c>
    </row>
    <row r="245" spans="1:17">
      <c r="A245" s="2" t="s">
        <v>308</v>
      </c>
      <c r="B245" s="4">
        <v>46312</v>
      </c>
      <c r="C245" s="2"/>
      <c r="D245" s="2" t="s">
        <v>268</v>
      </c>
      <c r="E245" s="2" t="s">
        <v>26</v>
      </c>
      <c r="F245" s="2" t="s">
        <v>31</v>
      </c>
      <c r="G245" s="2" t="s">
        <v>28</v>
      </c>
      <c r="H245" s="2" t="s">
        <v>44</v>
      </c>
      <c r="I245" s="2" t="s">
        <v>60</v>
      </c>
      <c r="K245" s="6">
        <f>_xlfn.XLOOKUP(Cases_Tbl[[#This Row],[Priority]],SLA_Table!$A$2:$A$4,SLA_Table!$B$2:$B$4)</f>
        <v>5</v>
      </c>
      <c r="L245" s="6" t="str">
        <f t="shared" si="15"/>
        <v/>
      </c>
      <c r="M245" s="6" t="str">
        <f t="shared" si="16"/>
        <v/>
      </c>
      <c r="N245" s="11">
        <f t="shared" si="17"/>
        <v>46307</v>
      </c>
      <c r="O245" s="9" t="str">
        <f t="shared" si="18"/>
        <v/>
      </c>
      <c r="P245" s="28">
        <f>IF(D245="Open",KPI!$K$13-B245,"")</f>
        <v>13</v>
      </c>
      <c r="Q245" s="24" t="str">
        <f t="shared" si="19"/>
        <v>Yes</v>
      </c>
    </row>
    <row r="246" spans="1:17">
      <c r="A246" s="2" t="s">
        <v>309</v>
      </c>
      <c r="B246" s="4">
        <v>46312</v>
      </c>
      <c r="C246" s="4">
        <v>46313</v>
      </c>
      <c r="D246" s="2" t="s">
        <v>25</v>
      </c>
      <c r="E246" s="2" t="s">
        <v>26</v>
      </c>
      <c r="F246" s="2" t="s">
        <v>47</v>
      </c>
      <c r="G246" s="2" t="s">
        <v>39</v>
      </c>
      <c r="H246" s="2" t="s">
        <v>36</v>
      </c>
      <c r="I246" s="2"/>
      <c r="K246" s="6">
        <f>_xlfn.XLOOKUP(Cases_Tbl[[#This Row],[Priority]],SLA_Table!$A$2:$A$4,SLA_Table!$B$2:$B$4)</f>
        <v>5</v>
      </c>
      <c r="L246" s="6">
        <f t="shared" si="15"/>
        <v>1</v>
      </c>
      <c r="M246" s="6" t="str">
        <f t="shared" si="16"/>
        <v>Yes</v>
      </c>
      <c r="N246" s="11">
        <f t="shared" si="17"/>
        <v>46307</v>
      </c>
      <c r="O246" s="9">
        <f t="shared" si="18"/>
        <v>46307</v>
      </c>
      <c r="P246" s="28" t="str">
        <f>IF(D246="Open",KPI!$K$13-B246,"")</f>
        <v/>
      </c>
      <c r="Q246" s="24" t="str">
        <f t="shared" si="19"/>
        <v/>
      </c>
    </row>
    <row r="247" spans="1:17">
      <c r="A247" s="2" t="s">
        <v>310</v>
      </c>
      <c r="B247" s="4">
        <v>46313</v>
      </c>
      <c r="C247" s="4">
        <v>46314</v>
      </c>
      <c r="D247" s="2" t="s">
        <v>25</v>
      </c>
      <c r="E247" s="2" t="s">
        <v>43</v>
      </c>
      <c r="F247" s="2" t="s">
        <v>27</v>
      </c>
      <c r="G247" s="2" t="s">
        <v>28</v>
      </c>
      <c r="H247" t="s">
        <v>386</v>
      </c>
      <c r="I247" s="2"/>
      <c r="K247" s="6">
        <f>_xlfn.XLOOKUP(Cases_Tbl[[#This Row],[Priority]],SLA_Table!$A$2:$A$4,SLA_Table!$B$2:$B$4)</f>
        <v>2</v>
      </c>
      <c r="L247" s="6">
        <f t="shared" si="15"/>
        <v>1</v>
      </c>
      <c r="M247" s="6" t="str">
        <f t="shared" si="16"/>
        <v>Yes</v>
      </c>
      <c r="N247" s="11">
        <f t="shared" si="17"/>
        <v>46307</v>
      </c>
      <c r="O247" s="9">
        <f t="shared" si="18"/>
        <v>46314</v>
      </c>
      <c r="P247" s="28" t="str">
        <f>IF(D247="Open",KPI!$K$13-B247,"")</f>
        <v/>
      </c>
      <c r="Q247" s="24" t="str">
        <f t="shared" si="19"/>
        <v/>
      </c>
    </row>
    <row r="248" spans="1:17">
      <c r="A248" s="2" t="s">
        <v>311</v>
      </c>
      <c r="B248" s="4">
        <v>46313</v>
      </c>
      <c r="C248" s="2"/>
      <c r="D248" s="2" t="s">
        <v>268</v>
      </c>
      <c r="E248" s="2" t="s">
        <v>35</v>
      </c>
      <c r="F248" s="2" t="s">
        <v>41</v>
      </c>
      <c r="G248" s="2" t="s">
        <v>39</v>
      </c>
      <c r="H248" s="2" t="s">
        <v>48</v>
      </c>
      <c r="I248" s="2"/>
      <c r="K248" s="6">
        <f>_xlfn.XLOOKUP(Cases_Tbl[[#This Row],[Priority]],SLA_Table!$A$2:$A$4,SLA_Table!$B$2:$B$4)</f>
        <v>10</v>
      </c>
      <c r="L248" s="6" t="str">
        <f t="shared" si="15"/>
        <v/>
      </c>
      <c r="M248" s="6" t="str">
        <f t="shared" si="16"/>
        <v/>
      </c>
      <c r="N248" s="11">
        <f t="shared" si="17"/>
        <v>46307</v>
      </c>
      <c r="O248" s="9" t="str">
        <f t="shared" si="18"/>
        <v/>
      </c>
      <c r="P248" s="28">
        <f>IF(D248="Open",KPI!$K$13-B248,"")</f>
        <v>12</v>
      </c>
      <c r="Q248" s="24" t="str">
        <f t="shared" si="19"/>
        <v>Yes</v>
      </c>
    </row>
    <row r="249" spans="1:17">
      <c r="A249" s="2" t="s">
        <v>312</v>
      </c>
      <c r="B249" s="4">
        <v>46313</v>
      </c>
      <c r="C249" s="4">
        <v>46318</v>
      </c>
      <c r="D249" s="2" t="s">
        <v>25</v>
      </c>
      <c r="E249" s="2" t="s">
        <v>26</v>
      </c>
      <c r="F249" s="2" t="s">
        <v>27</v>
      </c>
      <c r="G249" s="2" t="s">
        <v>28</v>
      </c>
      <c r="H249" s="2" t="s">
        <v>33</v>
      </c>
      <c r="I249" s="2"/>
      <c r="K249" s="6">
        <f>_xlfn.XLOOKUP(Cases_Tbl[[#This Row],[Priority]],SLA_Table!$A$2:$A$4,SLA_Table!$B$2:$B$4)</f>
        <v>5</v>
      </c>
      <c r="L249" s="6">
        <f t="shared" si="15"/>
        <v>5</v>
      </c>
      <c r="M249" s="6" t="str">
        <f t="shared" si="16"/>
        <v>Yes</v>
      </c>
      <c r="N249" s="11">
        <f t="shared" si="17"/>
        <v>46307</v>
      </c>
      <c r="O249" s="9">
        <f t="shared" si="18"/>
        <v>46314</v>
      </c>
      <c r="P249" s="28" t="str">
        <f>IF(D249="Open",KPI!$K$13-B249,"")</f>
        <v/>
      </c>
      <c r="Q249" s="24" t="str">
        <f t="shared" si="19"/>
        <v/>
      </c>
    </row>
    <row r="250" spans="1:17">
      <c r="A250" s="2" t="s">
        <v>313</v>
      </c>
      <c r="B250" s="4">
        <v>46313</v>
      </c>
      <c r="C250" s="4">
        <v>46317</v>
      </c>
      <c r="D250" s="2" t="s">
        <v>25</v>
      </c>
      <c r="E250" s="2" t="s">
        <v>26</v>
      </c>
      <c r="F250" s="2" t="s">
        <v>47</v>
      </c>
      <c r="G250" s="2" t="s">
        <v>32</v>
      </c>
      <c r="H250" s="2" t="s">
        <v>44</v>
      </c>
      <c r="I250" s="2"/>
      <c r="K250" s="6">
        <f>_xlfn.XLOOKUP(Cases_Tbl[[#This Row],[Priority]],SLA_Table!$A$2:$A$4,SLA_Table!$B$2:$B$4)</f>
        <v>5</v>
      </c>
      <c r="L250" s="6">
        <f t="shared" si="15"/>
        <v>4</v>
      </c>
      <c r="M250" s="6" t="str">
        <f t="shared" si="16"/>
        <v>Yes</v>
      </c>
      <c r="N250" s="11">
        <f t="shared" si="17"/>
        <v>46307</v>
      </c>
      <c r="O250" s="9">
        <f t="shared" si="18"/>
        <v>46314</v>
      </c>
      <c r="P250" s="28" t="str">
        <f>IF(D250="Open",KPI!$K$13-B250,"")</f>
        <v/>
      </c>
      <c r="Q250" s="24" t="str">
        <f t="shared" si="19"/>
        <v/>
      </c>
    </row>
    <row r="251" spans="1:17">
      <c r="A251" s="2" t="s">
        <v>314</v>
      </c>
      <c r="B251" s="4">
        <v>46313</v>
      </c>
      <c r="C251" s="2"/>
      <c r="D251" s="2" t="s">
        <v>268</v>
      </c>
      <c r="E251" s="2" t="s">
        <v>35</v>
      </c>
      <c r="F251" s="2" t="s">
        <v>31</v>
      </c>
      <c r="G251" s="2" t="s">
        <v>28</v>
      </c>
      <c r="H251" s="2" t="s">
        <v>48</v>
      </c>
      <c r="I251" s="2"/>
      <c r="K251" s="6">
        <f>_xlfn.XLOOKUP(Cases_Tbl[[#This Row],[Priority]],SLA_Table!$A$2:$A$4,SLA_Table!$B$2:$B$4)</f>
        <v>10</v>
      </c>
      <c r="L251" s="6" t="str">
        <f t="shared" si="15"/>
        <v/>
      </c>
      <c r="M251" s="6" t="str">
        <f t="shared" si="16"/>
        <v/>
      </c>
      <c r="N251" s="11">
        <f t="shared" si="17"/>
        <v>46307</v>
      </c>
      <c r="O251" s="9" t="str">
        <f t="shared" si="18"/>
        <v/>
      </c>
      <c r="P251" s="28">
        <f>IF(D251="Open",KPI!$K$13-B251,"")</f>
        <v>12</v>
      </c>
      <c r="Q251" s="24" t="str">
        <f t="shared" si="19"/>
        <v>Yes</v>
      </c>
    </row>
    <row r="252" spans="1:17">
      <c r="A252" s="2" t="s">
        <v>315</v>
      </c>
      <c r="B252" s="4">
        <v>46313</v>
      </c>
      <c r="C252" s="4">
        <v>46320</v>
      </c>
      <c r="D252" s="2" t="s">
        <v>25</v>
      </c>
      <c r="E252" s="2" t="s">
        <v>26</v>
      </c>
      <c r="F252" s="2" t="s">
        <v>31</v>
      </c>
      <c r="G252" s="2" t="s">
        <v>39</v>
      </c>
      <c r="H252" t="s">
        <v>386</v>
      </c>
      <c r="I252" s="2" t="s">
        <v>55</v>
      </c>
      <c r="K252" s="6">
        <f>_xlfn.XLOOKUP(Cases_Tbl[[#This Row],[Priority]],SLA_Table!$A$2:$A$4,SLA_Table!$B$2:$B$4)</f>
        <v>5</v>
      </c>
      <c r="L252" s="6">
        <f t="shared" si="15"/>
        <v>7</v>
      </c>
      <c r="M252" s="6" t="str">
        <f t="shared" si="16"/>
        <v>No</v>
      </c>
      <c r="N252" s="11">
        <f t="shared" si="17"/>
        <v>46307</v>
      </c>
      <c r="O252" s="9">
        <f t="shared" si="18"/>
        <v>46314</v>
      </c>
      <c r="P252" s="28" t="str">
        <f>IF(D252="Open",KPI!$K$13-B252,"")</f>
        <v/>
      </c>
      <c r="Q252" s="24" t="str">
        <f t="shared" si="19"/>
        <v/>
      </c>
    </row>
    <row r="253" spans="1:17">
      <c r="A253" s="2" t="s">
        <v>316</v>
      </c>
      <c r="B253" s="4">
        <v>46313</v>
      </c>
      <c r="C253" s="2"/>
      <c r="D253" s="2" t="s">
        <v>268</v>
      </c>
      <c r="E253" s="2" t="s">
        <v>35</v>
      </c>
      <c r="F253" s="2" t="s">
        <v>31</v>
      </c>
      <c r="G253" s="2" t="s">
        <v>28</v>
      </c>
      <c r="H253" s="2" t="s">
        <v>54</v>
      </c>
      <c r="I253" s="2"/>
      <c r="K253" s="6">
        <f>_xlfn.XLOOKUP(Cases_Tbl[[#This Row],[Priority]],SLA_Table!$A$2:$A$4,SLA_Table!$B$2:$B$4)</f>
        <v>10</v>
      </c>
      <c r="L253" s="6" t="str">
        <f t="shared" si="15"/>
        <v/>
      </c>
      <c r="M253" s="6" t="str">
        <f t="shared" si="16"/>
        <v/>
      </c>
      <c r="N253" s="11">
        <f t="shared" si="17"/>
        <v>46307</v>
      </c>
      <c r="O253" s="9" t="str">
        <f t="shared" si="18"/>
        <v/>
      </c>
      <c r="P253" s="28">
        <f>IF(D253="Open",KPI!$K$13-B253,"")</f>
        <v>12</v>
      </c>
      <c r="Q253" s="24" t="str">
        <f t="shared" si="19"/>
        <v>Yes</v>
      </c>
    </row>
    <row r="254" spans="1:17">
      <c r="A254" s="2" t="s">
        <v>317</v>
      </c>
      <c r="B254" s="4">
        <v>46313</v>
      </c>
      <c r="C254" s="4">
        <v>46315</v>
      </c>
      <c r="D254" s="2" t="s">
        <v>25</v>
      </c>
      <c r="E254" s="2" t="s">
        <v>26</v>
      </c>
      <c r="F254" s="2" t="s">
        <v>47</v>
      </c>
      <c r="G254" s="2" t="s">
        <v>28</v>
      </c>
      <c r="H254" s="2" t="s">
        <v>29</v>
      </c>
      <c r="I254" s="2"/>
      <c r="K254" s="6">
        <f>_xlfn.XLOOKUP(Cases_Tbl[[#This Row],[Priority]],SLA_Table!$A$2:$A$4,SLA_Table!$B$2:$B$4)</f>
        <v>5</v>
      </c>
      <c r="L254" s="6">
        <f t="shared" si="15"/>
        <v>2</v>
      </c>
      <c r="M254" s="6" t="str">
        <f t="shared" si="16"/>
        <v>Yes</v>
      </c>
      <c r="N254" s="11">
        <f t="shared" si="17"/>
        <v>46307</v>
      </c>
      <c r="O254" s="9">
        <f t="shared" si="18"/>
        <v>46314</v>
      </c>
      <c r="P254" s="28" t="str">
        <f>IF(D254="Open",KPI!$K$13-B254,"")</f>
        <v/>
      </c>
      <c r="Q254" s="24" t="str">
        <f t="shared" si="19"/>
        <v/>
      </c>
    </row>
    <row r="255" spans="1:17">
      <c r="A255" s="2" t="s">
        <v>318</v>
      </c>
      <c r="B255" s="4">
        <v>46313</v>
      </c>
      <c r="C255" s="2"/>
      <c r="D255" s="2" t="s">
        <v>268</v>
      </c>
      <c r="E255" s="2" t="s">
        <v>35</v>
      </c>
      <c r="F255" s="2" t="s">
        <v>31</v>
      </c>
      <c r="G255" s="2" t="s">
        <v>39</v>
      </c>
      <c r="H255" s="2" t="s">
        <v>48</v>
      </c>
      <c r="I255" s="2"/>
      <c r="K255" s="6">
        <f>_xlfn.XLOOKUP(Cases_Tbl[[#This Row],[Priority]],SLA_Table!$A$2:$A$4,SLA_Table!$B$2:$B$4)</f>
        <v>10</v>
      </c>
      <c r="L255" s="6" t="str">
        <f t="shared" si="15"/>
        <v/>
      </c>
      <c r="M255" s="6" t="str">
        <f t="shared" si="16"/>
        <v/>
      </c>
      <c r="N255" s="11">
        <f t="shared" si="17"/>
        <v>46307</v>
      </c>
      <c r="O255" s="9" t="str">
        <f t="shared" si="18"/>
        <v/>
      </c>
      <c r="P255" s="28">
        <f>IF(D255="Open",KPI!$K$13-B255,"")</f>
        <v>12</v>
      </c>
      <c r="Q255" s="24" t="str">
        <f t="shared" si="19"/>
        <v>Yes</v>
      </c>
    </row>
    <row r="256" spans="1:17">
      <c r="A256" s="2" t="s">
        <v>319</v>
      </c>
      <c r="B256" s="4">
        <v>46313</v>
      </c>
      <c r="C256" s="2"/>
      <c r="D256" s="2" t="s">
        <v>268</v>
      </c>
      <c r="E256" s="2" t="s">
        <v>35</v>
      </c>
      <c r="F256" s="2" t="s">
        <v>41</v>
      </c>
      <c r="G256" s="2" t="s">
        <v>39</v>
      </c>
      <c r="H256" s="2" t="s">
        <v>33</v>
      </c>
      <c r="I256" s="2"/>
      <c r="K256" s="6">
        <f>_xlfn.XLOOKUP(Cases_Tbl[[#This Row],[Priority]],SLA_Table!$A$2:$A$4,SLA_Table!$B$2:$B$4)</f>
        <v>10</v>
      </c>
      <c r="L256" s="6" t="str">
        <f t="shared" si="15"/>
        <v/>
      </c>
      <c r="M256" s="6" t="str">
        <f t="shared" si="16"/>
        <v/>
      </c>
      <c r="N256" s="11">
        <f t="shared" si="17"/>
        <v>46307</v>
      </c>
      <c r="O256" s="9" t="str">
        <f t="shared" si="18"/>
        <v/>
      </c>
      <c r="P256" s="28">
        <f>IF(D256="Open",KPI!$K$13-B256,"")</f>
        <v>12</v>
      </c>
      <c r="Q256" s="24" t="str">
        <f t="shared" si="19"/>
        <v>Yes</v>
      </c>
    </row>
    <row r="257" spans="1:17">
      <c r="A257" s="2" t="s">
        <v>320</v>
      </c>
      <c r="B257" s="4">
        <v>46313</v>
      </c>
      <c r="C257" s="2"/>
      <c r="D257" s="2" t="s">
        <v>268</v>
      </c>
      <c r="E257" s="2" t="s">
        <v>35</v>
      </c>
      <c r="F257" s="2" t="s">
        <v>47</v>
      </c>
      <c r="G257" s="2" t="s">
        <v>39</v>
      </c>
      <c r="H257" s="2" t="s">
        <v>29</v>
      </c>
      <c r="I257" s="2"/>
      <c r="K257" s="6">
        <f>_xlfn.XLOOKUP(Cases_Tbl[[#This Row],[Priority]],SLA_Table!$A$2:$A$4,SLA_Table!$B$2:$B$4)</f>
        <v>10</v>
      </c>
      <c r="L257" s="6" t="str">
        <f t="shared" si="15"/>
        <v/>
      </c>
      <c r="M257" s="6" t="str">
        <f t="shared" si="16"/>
        <v/>
      </c>
      <c r="N257" s="11">
        <f t="shared" si="17"/>
        <v>46307</v>
      </c>
      <c r="O257" s="9" t="str">
        <f t="shared" si="18"/>
        <v/>
      </c>
      <c r="P257" s="28">
        <f>IF(D257="Open",KPI!$K$13-B257,"")</f>
        <v>12</v>
      </c>
      <c r="Q257" s="24" t="str">
        <f t="shared" si="19"/>
        <v>Yes</v>
      </c>
    </row>
    <row r="258" spans="1:17">
      <c r="A258" s="2" t="s">
        <v>321</v>
      </c>
      <c r="B258" s="4">
        <v>46313</v>
      </c>
      <c r="C258" s="4">
        <v>46315</v>
      </c>
      <c r="D258" s="2" t="s">
        <v>25</v>
      </c>
      <c r="E258" s="2" t="s">
        <v>26</v>
      </c>
      <c r="F258" s="2" t="s">
        <v>31</v>
      </c>
      <c r="G258" s="2" t="s">
        <v>28</v>
      </c>
      <c r="H258" s="2" t="s">
        <v>54</v>
      </c>
      <c r="I258" s="2"/>
      <c r="K258" s="6">
        <f>_xlfn.XLOOKUP(Cases_Tbl[[#This Row],[Priority]],SLA_Table!$A$2:$A$4,SLA_Table!$B$2:$B$4)</f>
        <v>5</v>
      </c>
      <c r="L258" s="6">
        <f t="shared" ref="L258:L301" si="20">IF(OR(C258="",J258&lt;&gt;""),"",C258-B258)</f>
        <v>2</v>
      </c>
      <c r="M258" s="6" t="str">
        <f t="shared" ref="M258:M301" si="21">IF(L258="","",IF(L258&lt;=K258,"Yes","No"))</f>
        <v>Yes</v>
      </c>
      <c r="N258" s="11">
        <f t="shared" ref="N258:N301" si="22">B258-WEEKDAY(B258,2)+1</f>
        <v>46307</v>
      </c>
      <c r="O258" s="9">
        <f t="shared" ref="O258:O301" si="23">IF(C258="","",C258-WEEKDAY(C258,2)+1)</f>
        <v>46314</v>
      </c>
      <c r="P258" s="28" t="str">
        <f>IF(D258="Open",KPI!$K$13-B258,"")</f>
        <v/>
      </c>
      <c r="Q258" s="24" t="str">
        <f t="shared" ref="Q258:Q321" si="24">IF(P258="","",IF(P258&gt;K258,"Yes","No"))</f>
        <v/>
      </c>
    </row>
    <row r="259" spans="1:17">
      <c r="A259" s="2" t="s">
        <v>322</v>
      </c>
      <c r="B259" s="4">
        <v>46313</v>
      </c>
      <c r="C259" s="4">
        <v>46317</v>
      </c>
      <c r="D259" s="2" t="s">
        <v>25</v>
      </c>
      <c r="E259" s="2" t="s">
        <v>26</v>
      </c>
      <c r="F259" s="2" t="s">
        <v>41</v>
      </c>
      <c r="G259" s="2" t="s">
        <v>32</v>
      </c>
      <c r="H259" s="2" t="s">
        <v>36</v>
      </c>
      <c r="I259" s="2"/>
      <c r="K259" s="6">
        <f>_xlfn.XLOOKUP(Cases_Tbl[[#This Row],[Priority]],SLA_Table!$A$2:$A$4,SLA_Table!$B$2:$B$4)</f>
        <v>5</v>
      </c>
      <c r="L259" s="6">
        <f t="shared" si="20"/>
        <v>4</v>
      </c>
      <c r="M259" s="6" t="str">
        <f t="shared" si="21"/>
        <v>Yes</v>
      </c>
      <c r="N259" s="11">
        <f t="shared" si="22"/>
        <v>46307</v>
      </c>
      <c r="O259" s="9">
        <f t="shared" si="23"/>
        <v>46314</v>
      </c>
      <c r="P259" s="28" t="str">
        <f>IF(D259="Open",KPI!$K$13-B259,"")</f>
        <v/>
      </c>
      <c r="Q259" s="24" t="str">
        <f t="shared" si="24"/>
        <v/>
      </c>
    </row>
    <row r="260" spans="1:17">
      <c r="A260" s="2" t="s">
        <v>323</v>
      </c>
      <c r="B260" s="4">
        <v>46313</v>
      </c>
      <c r="C260" s="2"/>
      <c r="D260" s="2" t="s">
        <v>268</v>
      </c>
      <c r="E260" s="2" t="s">
        <v>26</v>
      </c>
      <c r="F260" s="2" t="s">
        <v>31</v>
      </c>
      <c r="G260" s="2" t="s">
        <v>28</v>
      </c>
      <c r="H260" s="2" t="s">
        <v>36</v>
      </c>
      <c r="I260" s="2" t="s">
        <v>55</v>
      </c>
      <c r="K260" s="6">
        <f>_xlfn.XLOOKUP(Cases_Tbl[[#This Row],[Priority]],SLA_Table!$A$2:$A$4,SLA_Table!$B$2:$B$4)</f>
        <v>5</v>
      </c>
      <c r="L260" s="6" t="str">
        <f t="shared" si="20"/>
        <v/>
      </c>
      <c r="M260" s="6" t="str">
        <f t="shared" si="21"/>
        <v/>
      </c>
      <c r="N260" s="11">
        <f t="shared" si="22"/>
        <v>46307</v>
      </c>
      <c r="O260" s="9" t="str">
        <f t="shared" si="23"/>
        <v/>
      </c>
      <c r="P260" s="28">
        <f>IF(D260="Open",KPI!$K$13-B260,"")</f>
        <v>12</v>
      </c>
      <c r="Q260" s="24" t="str">
        <f t="shared" si="24"/>
        <v>Yes</v>
      </c>
    </row>
    <row r="261" spans="1:17">
      <c r="A261" s="2" t="s">
        <v>324</v>
      </c>
      <c r="B261" s="4">
        <v>46313</v>
      </c>
      <c r="C261" s="4">
        <v>46313</v>
      </c>
      <c r="D261" s="2" t="s">
        <v>25</v>
      </c>
      <c r="E261" s="2" t="s">
        <v>43</v>
      </c>
      <c r="F261" s="2" t="s">
        <v>41</v>
      </c>
      <c r="G261" s="2" t="s">
        <v>32</v>
      </c>
      <c r="H261" s="2" t="s">
        <v>44</v>
      </c>
      <c r="I261" s="2"/>
      <c r="K261" s="6">
        <f>_xlfn.XLOOKUP(Cases_Tbl[[#This Row],[Priority]],SLA_Table!$A$2:$A$4,SLA_Table!$B$2:$B$4)</f>
        <v>2</v>
      </c>
      <c r="L261" s="6">
        <f t="shared" si="20"/>
        <v>0</v>
      </c>
      <c r="M261" s="6" t="str">
        <f t="shared" si="21"/>
        <v>Yes</v>
      </c>
      <c r="N261" s="11">
        <f t="shared" si="22"/>
        <v>46307</v>
      </c>
      <c r="O261" s="9">
        <f t="shared" si="23"/>
        <v>46307</v>
      </c>
      <c r="P261" s="28" t="str">
        <f>IF(D261="Open",KPI!$K$13-B261,"")</f>
        <v/>
      </c>
      <c r="Q261" s="24" t="str">
        <f t="shared" si="24"/>
        <v/>
      </c>
    </row>
    <row r="262" spans="1:17">
      <c r="A262" s="2" t="s">
        <v>325</v>
      </c>
      <c r="B262" s="4">
        <v>46314</v>
      </c>
      <c r="C262" s="4">
        <v>46318</v>
      </c>
      <c r="D262" s="2" t="s">
        <v>25</v>
      </c>
      <c r="E262" s="2" t="s">
        <v>43</v>
      </c>
      <c r="F262" s="2" t="s">
        <v>27</v>
      </c>
      <c r="G262" s="2" t="s">
        <v>28</v>
      </c>
      <c r="H262" s="2" t="s">
        <v>36</v>
      </c>
      <c r="I262" s="2" t="s">
        <v>98</v>
      </c>
      <c r="K262" s="6">
        <f>_xlfn.XLOOKUP(Cases_Tbl[[#This Row],[Priority]],SLA_Table!$A$2:$A$4,SLA_Table!$B$2:$B$4)</f>
        <v>2</v>
      </c>
      <c r="L262" s="6">
        <f t="shared" si="20"/>
        <v>4</v>
      </c>
      <c r="M262" s="6" t="str">
        <f t="shared" si="21"/>
        <v>No</v>
      </c>
      <c r="N262" s="11">
        <f t="shared" si="22"/>
        <v>46314</v>
      </c>
      <c r="O262" s="9">
        <f t="shared" si="23"/>
        <v>46314</v>
      </c>
      <c r="P262" s="28" t="str">
        <f>IF(D262="Open",KPI!$K$13-B262,"")</f>
        <v/>
      </c>
      <c r="Q262" s="24" t="str">
        <f t="shared" si="24"/>
        <v/>
      </c>
    </row>
    <row r="263" spans="1:17">
      <c r="A263" s="2" t="s">
        <v>326</v>
      </c>
      <c r="B263" s="4">
        <v>46314</v>
      </c>
      <c r="C263" s="2"/>
      <c r="D263" s="2" t="s">
        <v>268</v>
      </c>
      <c r="E263" s="2" t="s">
        <v>35</v>
      </c>
      <c r="F263" s="2" t="s">
        <v>27</v>
      </c>
      <c r="G263" s="2" t="s">
        <v>39</v>
      </c>
      <c r="H263" s="2" t="s">
        <v>36</v>
      </c>
      <c r="I263" s="2"/>
      <c r="K263" s="6">
        <f>_xlfn.XLOOKUP(Cases_Tbl[[#This Row],[Priority]],SLA_Table!$A$2:$A$4,SLA_Table!$B$2:$B$4)</f>
        <v>10</v>
      </c>
      <c r="L263" s="6" t="str">
        <f t="shared" si="20"/>
        <v/>
      </c>
      <c r="M263" s="6" t="str">
        <f t="shared" si="21"/>
        <v/>
      </c>
      <c r="N263" s="11">
        <f t="shared" si="22"/>
        <v>46314</v>
      </c>
      <c r="O263" s="9" t="str">
        <f t="shared" si="23"/>
        <v/>
      </c>
      <c r="P263" s="28">
        <f>IF(D263="Open",KPI!$K$13-B263,"")</f>
        <v>11</v>
      </c>
      <c r="Q263" s="24" t="str">
        <f t="shared" si="24"/>
        <v>Yes</v>
      </c>
    </row>
    <row r="264" spans="1:17">
      <c r="A264" s="2" t="s">
        <v>327</v>
      </c>
      <c r="B264" s="4">
        <v>46314</v>
      </c>
      <c r="C264" s="4">
        <v>46320</v>
      </c>
      <c r="D264" s="2" t="s">
        <v>25</v>
      </c>
      <c r="E264" s="2" t="s">
        <v>35</v>
      </c>
      <c r="F264" s="2" t="s">
        <v>41</v>
      </c>
      <c r="G264" s="2" t="s">
        <v>28</v>
      </c>
      <c r="H264" s="2" t="s">
        <v>33</v>
      </c>
      <c r="I264" s="2"/>
      <c r="K264" s="6">
        <f>_xlfn.XLOOKUP(Cases_Tbl[[#This Row],[Priority]],SLA_Table!$A$2:$A$4,SLA_Table!$B$2:$B$4)</f>
        <v>10</v>
      </c>
      <c r="L264" s="6">
        <f t="shared" si="20"/>
        <v>6</v>
      </c>
      <c r="M264" s="6" t="str">
        <f t="shared" si="21"/>
        <v>Yes</v>
      </c>
      <c r="N264" s="11">
        <f t="shared" si="22"/>
        <v>46314</v>
      </c>
      <c r="O264" s="9">
        <f t="shared" si="23"/>
        <v>46314</v>
      </c>
      <c r="P264" s="28" t="str">
        <f>IF(D264="Open",KPI!$K$13-B264,"")</f>
        <v/>
      </c>
      <c r="Q264" s="24" t="str">
        <f t="shared" si="24"/>
        <v/>
      </c>
    </row>
    <row r="265" spans="1:17">
      <c r="A265" s="2" t="s">
        <v>328</v>
      </c>
      <c r="B265" s="4">
        <v>46314</v>
      </c>
      <c r="C265" s="4">
        <v>46320</v>
      </c>
      <c r="D265" s="2" t="s">
        <v>25</v>
      </c>
      <c r="E265" s="2" t="s">
        <v>26</v>
      </c>
      <c r="F265" s="2" t="s">
        <v>31</v>
      </c>
      <c r="G265" s="2" t="s">
        <v>32</v>
      </c>
      <c r="H265" s="2" t="s">
        <v>48</v>
      </c>
      <c r="I265" s="2" t="s">
        <v>55</v>
      </c>
      <c r="K265" s="6">
        <f>_xlfn.XLOOKUP(Cases_Tbl[[#This Row],[Priority]],SLA_Table!$A$2:$A$4,SLA_Table!$B$2:$B$4)</f>
        <v>5</v>
      </c>
      <c r="L265" s="6">
        <f t="shared" si="20"/>
        <v>6</v>
      </c>
      <c r="M265" s="6" t="str">
        <f t="shared" si="21"/>
        <v>No</v>
      </c>
      <c r="N265" s="11">
        <f t="shared" si="22"/>
        <v>46314</v>
      </c>
      <c r="O265" s="9">
        <f t="shared" si="23"/>
        <v>46314</v>
      </c>
      <c r="P265" s="28" t="str">
        <f>IF(D265="Open",KPI!$K$13-B265,"")</f>
        <v/>
      </c>
      <c r="Q265" s="24" t="str">
        <f t="shared" si="24"/>
        <v/>
      </c>
    </row>
    <row r="266" spans="1:17">
      <c r="A266" s="2" t="s">
        <v>329</v>
      </c>
      <c r="B266" s="4">
        <v>46314</v>
      </c>
      <c r="C266" s="4">
        <v>46317</v>
      </c>
      <c r="D266" s="2" t="s">
        <v>25</v>
      </c>
      <c r="E266" s="2" t="s">
        <v>26</v>
      </c>
      <c r="F266" s="2" t="s">
        <v>38</v>
      </c>
      <c r="G266" s="2" t="s">
        <v>28</v>
      </c>
      <c r="H266" s="2" t="s">
        <v>29</v>
      </c>
      <c r="I266" s="2"/>
      <c r="K266" s="6">
        <f>_xlfn.XLOOKUP(Cases_Tbl[[#This Row],[Priority]],SLA_Table!$A$2:$A$4,SLA_Table!$B$2:$B$4)</f>
        <v>5</v>
      </c>
      <c r="L266" s="6">
        <f t="shared" si="20"/>
        <v>3</v>
      </c>
      <c r="M266" s="6" t="str">
        <f t="shared" si="21"/>
        <v>Yes</v>
      </c>
      <c r="N266" s="11">
        <f t="shared" si="22"/>
        <v>46314</v>
      </c>
      <c r="O266" s="9">
        <f t="shared" si="23"/>
        <v>46314</v>
      </c>
      <c r="P266" s="28" t="str">
        <f>IF(D266="Open",KPI!$K$13-B266,"")</f>
        <v/>
      </c>
      <c r="Q266" s="24" t="str">
        <f t="shared" si="24"/>
        <v/>
      </c>
    </row>
    <row r="267" spans="1:17">
      <c r="A267" s="2" t="s">
        <v>330</v>
      </c>
      <c r="B267" s="4">
        <v>46315</v>
      </c>
      <c r="C267" s="2"/>
      <c r="D267" s="2" t="s">
        <v>268</v>
      </c>
      <c r="E267" s="2" t="s">
        <v>35</v>
      </c>
      <c r="F267" s="2" t="s">
        <v>41</v>
      </c>
      <c r="G267" s="2" t="s">
        <v>32</v>
      </c>
      <c r="H267" s="2" t="s">
        <v>48</v>
      </c>
      <c r="I267" s="2"/>
      <c r="K267" s="6">
        <f>_xlfn.XLOOKUP(Cases_Tbl[[#This Row],[Priority]],SLA_Table!$A$2:$A$4,SLA_Table!$B$2:$B$4)</f>
        <v>10</v>
      </c>
      <c r="L267" s="6" t="str">
        <f t="shared" si="20"/>
        <v/>
      </c>
      <c r="M267" s="6" t="str">
        <f t="shared" si="21"/>
        <v/>
      </c>
      <c r="N267" s="11">
        <f t="shared" si="22"/>
        <v>46314</v>
      </c>
      <c r="O267" s="9" t="str">
        <f t="shared" si="23"/>
        <v/>
      </c>
      <c r="P267" s="28">
        <f>IF(D267="Open",KPI!$K$13-B267,"")</f>
        <v>10</v>
      </c>
      <c r="Q267" s="24" t="str">
        <f t="shared" si="24"/>
        <v>No</v>
      </c>
    </row>
    <row r="268" spans="1:17">
      <c r="A268" s="2" t="s">
        <v>331</v>
      </c>
      <c r="B268" s="4">
        <v>46315</v>
      </c>
      <c r="C268" s="2"/>
      <c r="D268" s="2" t="s">
        <v>268</v>
      </c>
      <c r="E268" s="2" t="s">
        <v>35</v>
      </c>
      <c r="F268" s="2" t="s">
        <v>47</v>
      </c>
      <c r="G268" s="2" t="s">
        <v>39</v>
      </c>
      <c r="H268" s="2" t="s">
        <v>36</v>
      </c>
      <c r="I268" s="2"/>
      <c r="K268" s="6">
        <f>_xlfn.XLOOKUP(Cases_Tbl[[#This Row],[Priority]],SLA_Table!$A$2:$A$4,SLA_Table!$B$2:$B$4)</f>
        <v>10</v>
      </c>
      <c r="L268" s="6" t="str">
        <f t="shared" si="20"/>
        <v/>
      </c>
      <c r="M268" s="6" t="str">
        <f t="shared" si="21"/>
        <v/>
      </c>
      <c r="N268" s="11">
        <f t="shared" si="22"/>
        <v>46314</v>
      </c>
      <c r="O268" s="9" t="str">
        <f t="shared" si="23"/>
        <v/>
      </c>
      <c r="P268" s="28">
        <f>IF(D268="Open",KPI!$K$13-B268,"")</f>
        <v>10</v>
      </c>
      <c r="Q268" s="24" t="str">
        <f t="shared" si="24"/>
        <v>No</v>
      </c>
    </row>
    <row r="269" spans="1:17">
      <c r="A269" s="2" t="s">
        <v>332</v>
      </c>
      <c r="B269" s="4">
        <v>46315</v>
      </c>
      <c r="C269" s="2"/>
      <c r="D269" s="2" t="s">
        <v>268</v>
      </c>
      <c r="E269" s="2" t="s">
        <v>35</v>
      </c>
      <c r="F269" s="2" t="s">
        <v>38</v>
      </c>
      <c r="G269" s="2" t="s">
        <v>28</v>
      </c>
      <c r="H269" s="2" t="s">
        <v>33</v>
      </c>
      <c r="I269" s="2"/>
      <c r="K269" s="6">
        <f>_xlfn.XLOOKUP(Cases_Tbl[[#This Row],[Priority]],SLA_Table!$A$2:$A$4,SLA_Table!$B$2:$B$4)</f>
        <v>10</v>
      </c>
      <c r="L269" s="6" t="str">
        <f t="shared" si="20"/>
        <v/>
      </c>
      <c r="M269" s="6" t="str">
        <f t="shared" si="21"/>
        <v/>
      </c>
      <c r="N269" s="11">
        <f t="shared" si="22"/>
        <v>46314</v>
      </c>
      <c r="O269" s="9" t="str">
        <f t="shared" si="23"/>
        <v/>
      </c>
      <c r="P269" s="28">
        <f>IF(D269="Open",KPI!$K$13-B269,"")</f>
        <v>10</v>
      </c>
      <c r="Q269" s="24" t="str">
        <f t="shared" si="24"/>
        <v>No</v>
      </c>
    </row>
    <row r="270" spans="1:17">
      <c r="A270" s="2" t="s">
        <v>333</v>
      </c>
      <c r="B270" s="4">
        <v>46315</v>
      </c>
      <c r="C270" s="4">
        <v>46318</v>
      </c>
      <c r="D270" s="2" t="s">
        <v>25</v>
      </c>
      <c r="E270" s="2" t="s">
        <v>26</v>
      </c>
      <c r="F270" s="2" t="s">
        <v>38</v>
      </c>
      <c r="G270" s="2" t="s">
        <v>28</v>
      </c>
      <c r="H270" s="2" t="s">
        <v>48</v>
      </c>
      <c r="I270" s="2"/>
      <c r="K270" s="6">
        <f>_xlfn.XLOOKUP(Cases_Tbl[[#This Row],[Priority]],SLA_Table!$A$2:$A$4,SLA_Table!$B$2:$B$4)</f>
        <v>5</v>
      </c>
      <c r="L270" s="6">
        <f t="shared" si="20"/>
        <v>3</v>
      </c>
      <c r="M270" s="6" t="str">
        <f t="shared" si="21"/>
        <v>Yes</v>
      </c>
      <c r="N270" s="11">
        <f t="shared" si="22"/>
        <v>46314</v>
      </c>
      <c r="O270" s="9">
        <f t="shared" si="23"/>
        <v>46314</v>
      </c>
      <c r="P270" s="28" t="str">
        <f>IF(D270="Open",KPI!$K$13-B270,"")</f>
        <v/>
      </c>
      <c r="Q270" s="24" t="str">
        <f t="shared" si="24"/>
        <v/>
      </c>
    </row>
    <row r="271" spans="1:17">
      <c r="A271" s="2" t="s">
        <v>334</v>
      </c>
      <c r="B271" s="4">
        <v>46315</v>
      </c>
      <c r="C271" s="2"/>
      <c r="D271" s="2" t="s">
        <v>268</v>
      </c>
      <c r="E271" s="2" t="s">
        <v>35</v>
      </c>
      <c r="F271" s="2" t="s">
        <v>47</v>
      </c>
      <c r="G271" s="2" t="s">
        <v>39</v>
      </c>
      <c r="H271" s="2" t="s">
        <v>33</v>
      </c>
      <c r="I271" s="2"/>
      <c r="K271" s="6">
        <f>_xlfn.XLOOKUP(Cases_Tbl[[#This Row],[Priority]],SLA_Table!$A$2:$A$4,SLA_Table!$B$2:$B$4)</f>
        <v>10</v>
      </c>
      <c r="L271" s="6" t="str">
        <f t="shared" si="20"/>
        <v/>
      </c>
      <c r="M271" s="6" t="str">
        <f t="shared" si="21"/>
        <v/>
      </c>
      <c r="N271" s="11">
        <f t="shared" si="22"/>
        <v>46314</v>
      </c>
      <c r="O271" s="9" t="str">
        <f t="shared" si="23"/>
        <v/>
      </c>
      <c r="P271" s="28">
        <f>IF(D271="Open",KPI!$K$13-B271,"")</f>
        <v>10</v>
      </c>
      <c r="Q271" s="24" t="str">
        <f t="shared" si="24"/>
        <v>No</v>
      </c>
    </row>
    <row r="272" spans="1:17">
      <c r="A272" s="2" t="s">
        <v>335</v>
      </c>
      <c r="B272" s="4">
        <v>46315</v>
      </c>
      <c r="C272" s="4">
        <v>46318</v>
      </c>
      <c r="D272" s="2" t="s">
        <v>25</v>
      </c>
      <c r="E272" s="2" t="s">
        <v>26</v>
      </c>
      <c r="F272" s="2" t="s">
        <v>27</v>
      </c>
      <c r="G272" s="2" t="s">
        <v>32</v>
      </c>
      <c r="H272" s="2" t="s">
        <v>36</v>
      </c>
      <c r="I272" s="2"/>
      <c r="K272" s="6">
        <f>_xlfn.XLOOKUP(Cases_Tbl[[#This Row],[Priority]],SLA_Table!$A$2:$A$4,SLA_Table!$B$2:$B$4)</f>
        <v>5</v>
      </c>
      <c r="L272" s="6">
        <f t="shared" si="20"/>
        <v>3</v>
      </c>
      <c r="M272" s="6" t="str">
        <f t="shared" si="21"/>
        <v>Yes</v>
      </c>
      <c r="N272" s="11">
        <f t="shared" si="22"/>
        <v>46314</v>
      </c>
      <c r="O272" s="9">
        <f t="shared" si="23"/>
        <v>46314</v>
      </c>
      <c r="P272" s="28" t="str">
        <f>IF(D272="Open",KPI!$K$13-B272,"")</f>
        <v/>
      </c>
      <c r="Q272" s="24" t="str">
        <f t="shared" si="24"/>
        <v/>
      </c>
    </row>
    <row r="273" spans="1:17">
      <c r="A273" s="2" t="s">
        <v>336</v>
      </c>
      <c r="B273" s="4">
        <v>46316</v>
      </c>
      <c r="C273" s="4">
        <v>46318</v>
      </c>
      <c r="D273" s="2" t="s">
        <v>25</v>
      </c>
      <c r="E273" s="2" t="s">
        <v>26</v>
      </c>
      <c r="F273" s="2" t="s">
        <v>41</v>
      </c>
      <c r="G273" s="2" t="s">
        <v>39</v>
      </c>
      <c r="H273" s="2" t="s">
        <v>54</v>
      </c>
      <c r="I273" s="2"/>
      <c r="K273" s="6">
        <f>_xlfn.XLOOKUP(Cases_Tbl[[#This Row],[Priority]],SLA_Table!$A$2:$A$4,SLA_Table!$B$2:$B$4)</f>
        <v>5</v>
      </c>
      <c r="L273" s="6">
        <f t="shared" si="20"/>
        <v>2</v>
      </c>
      <c r="M273" s="6" t="str">
        <f t="shared" si="21"/>
        <v>Yes</v>
      </c>
      <c r="N273" s="11">
        <f t="shared" si="22"/>
        <v>46314</v>
      </c>
      <c r="O273" s="9">
        <f t="shared" si="23"/>
        <v>46314</v>
      </c>
      <c r="P273" s="28" t="str">
        <f>IF(D273="Open",KPI!$K$13-B273,"")</f>
        <v/>
      </c>
      <c r="Q273" s="24" t="str">
        <f t="shared" si="24"/>
        <v/>
      </c>
    </row>
    <row r="274" spans="1:17">
      <c r="A274" s="2" t="s">
        <v>337</v>
      </c>
      <c r="B274" s="4">
        <v>46316</v>
      </c>
      <c r="C274" s="4">
        <v>46319</v>
      </c>
      <c r="D274" s="2" t="s">
        <v>25</v>
      </c>
      <c r="E274" s="2" t="s">
        <v>43</v>
      </c>
      <c r="F274" s="2" t="s">
        <v>41</v>
      </c>
      <c r="G274" s="2" t="s">
        <v>32</v>
      </c>
      <c r="H274" s="2" t="s">
        <v>48</v>
      </c>
      <c r="I274" s="2" t="s">
        <v>55</v>
      </c>
      <c r="K274" s="6">
        <f>_xlfn.XLOOKUP(Cases_Tbl[[#This Row],[Priority]],SLA_Table!$A$2:$A$4,SLA_Table!$B$2:$B$4)</f>
        <v>2</v>
      </c>
      <c r="L274" s="6">
        <f t="shared" si="20"/>
        <v>3</v>
      </c>
      <c r="M274" s="6" t="str">
        <f t="shared" si="21"/>
        <v>No</v>
      </c>
      <c r="N274" s="11">
        <f t="shared" si="22"/>
        <v>46314</v>
      </c>
      <c r="O274" s="9">
        <f t="shared" si="23"/>
        <v>46314</v>
      </c>
      <c r="P274" s="28" t="str">
        <f>IF(D274="Open",KPI!$K$13-B274,"")</f>
        <v/>
      </c>
      <c r="Q274" s="24" t="str">
        <f t="shared" si="24"/>
        <v/>
      </c>
    </row>
    <row r="275" spans="1:17">
      <c r="A275" s="2" t="s">
        <v>338</v>
      </c>
      <c r="B275" s="4">
        <v>46316</v>
      </c>
      <c r="C275" s="2"/>
      <c r="D275" s="2" t="s">
        <v>268</v>
      </c>
      <c r="E275" s="2" t="s">
        <v>35</v>
      </c>
      <c r="F275" s="2" t="s">
        <v>47</v>
      </c>
      <c r="G275" s="2" t="s">
        <v>28</v>
      </c>
      <c r="H275" s="2" t="s">
        <v>29</v>
      </c>
      <c r="I275" s="2"/>
      <c r="K275" s="6">
        <f>_xlfn.XLOOKUP(Cases_Tbl[[#This Row],[Priority]],SLA_Table!$A$2:$A$4,SLA_Table!$B$2:$B$4)</f>
        <v>10</v>
      </c>
      <c r="L275" s="6" t="str">
        <f t="shared" si="20"/>
        <v/>
      </c>
      <c r="M275" s="6" t="str">
        <f t="shared" si="21"/>
        <v/>
      </c>
      <c r="N275" s="11">
        <f t="shared" si="22"/>
        <v>46314</v>
      </c>
      <c r="O275" s="9" t="str">
        <f t="shared" si="23"/>
        <v/>
      </c>
      <c r="P275" s="28">
        <f>IF(D275="Open",KPI!$K$13-B275,"")</f>
        <v>9</v>
      </c>
      <c r="Q275" s="24" t="str">
        <f t="shared" si="24"/>
        <v>No</v>
      </c>
    </row>
    <row r="276" spans="1:17">
      <c r="A276" s="2" t="s">
        <v>339</v>
      </c>
      <c r="B276" s="4">
        <v>46317</v>
      </c>
      <c r="C276" s="2"/>
      <c r="D276" s="2" t="s">
        <v>268</v>
      </c>
      <c r="E276" s="2" t="s">
        <v>35</v>
      </c>
      <c r="F276" s="2" t="s">
        <v>27</v>
      </c>
      <c r="G276" s="2" t="s">
        <v>32</v>
      </c>
      <c r="H276" s="2" t="s">
        <v>33</v>
      </c>
      <c r="I276" s="2"/>
      <c r="K276" s="6">
        <f>_xlfn.XLOOKUP(Cases_Tbl[[#This Row],[Priority]],SLA_Table!$A$2:$A$4,SLA_Table!$B$2:$B$4)</f>
        <v>10</v>
      </c>
      <c r="L276" s="6" t="str">
        <f t="shared" si="20"/>
        <v/>
      </c>
      <c r="M276" s="6" t="str">
        <f t="shared" si="21"/>
        <v/>
      </c>
      <c r="N276" s="11">
        <f t="shared" si="22"/>
        <v>46314</v>
      </c>
      <c r="O276" s="9" t="str">
        <f t="shared" si="23"/>
        <v/>
      </c>
      <c r="P276" s="28">
        <f>IF(D276="Open",KPI!$K$13-B276,"")</f>
        <v>8</v>
      </c>
      <c r="Q276" s="24" t="str">
        <f t="shared" si="24"/>
        <v>No</v>
      </c>
    </row>
    <row r="277" spans="1:17">
      <c r="A277" s="2" t="s">
        <v>340</v>
      </c>
      <c r="B277" s="4">
        <v>46317</v>
      </c>
      <c r="C277" s="2"/>
      <c r="D277" s="2" t="s">
        <v>268</v>
      </c>
      <c r="E277" s="2" t="s">
        <v>26</v>
      </c>
      <c r="F277" s="2" t="s">
        <v>47</v>
      </c>
      <c r="G277" s="2" t="s">
        <v>28</v>
      </c>
      <c r="H277" s="2" t="s">
        <v>29</v>
      </c>
      <c r="I277" s="2"/>
      <c r="K277" s="6">
        <f>_xlfn.XLOOKUP(Cases_Tbl[[#This Row],[Priority]],SLA_Table!$A$2:$A$4,SLA_Table!$B$2:$B$4)</f>
        <v>5</v>
      </c>
      <c r="L277" s="6" t="str">
        <f t="shared" si="20"/>
        <v/>
      </c>
      <c r="M277" s="6" t="str">
        <f t="shared" si="21"/>
        <v/>
      </c>
      <c r="N277" s="11">
        <f t="shared" si="22"/>
        <v>46314</v>
      </c>
      <c r="O277" s="9" t="str">
        <f t="shared" si="23"/>
        <v/>
      </c>
      <c r="P277" s="28">
        <f>IF(D277="Open",KPI!$K$13-B277,"")</f>
        <v>8</v>
      </c>
      <c r="Q277" s="24" t="str">
        <f t="shared" si="24"/>
        <v>Yes</v>
      </c>
    </row>
    <row r="278" spans="1:17">
      <c r="A278" s="2" t="s">
        <v>341</v>
      </c>
      <c r="B278" s="4">
        <v>46317</v>
      </c>
      <c r="C278" s="4">
        <v>46319</v>
      </c>
      <c r="D278" s="2" t="s">
        <v>25</v>
      </c>
      <c r="E278" s="2" t="s">
        <v>43</v>
      </c>
      <c r="F278" s="2" t="s">
        <v>47</v>
      </c>
      <c r="G278" s="2" t="s">
        <v>32</v>
      </c>
      <c r="H278" s="2" t="s">
        <v>29</v>
      </c>
      <c r="I278" s="2"/>
      <c r="K278" s="6">
        <f>_xlfn.XLOOKUP(Cases_Tbl[[#This Row],[Priority]],SLA_Table!$A$2:$A$4,SLA_Table!$B$2:$B$4)</f>
        <v>2</v>
      </c>
      <c r="L278" s="6">
        <f t="shared" si="20"/>
        <v>2</v>
      </c>
      <c r="M278" s="6" t="str">
        <f t="shared" si="21"/>
        <v>Yes</v>
      </c>
      <c r="N278" s="11">
        <f t="shared" si="22"/>
        <v>46314</v>
      </c>
      <c r="O278" s="9">
        <f t="shared" si="23"/>
        <v>46314</v>
      </c>
      <c r="P278" s="28" t="str">
        <f>IF(D278="Open",KPI!$K$13-B278,"")</f>
        <v/>
      </c>
      <c r="Q278" s="24" t="str">
        <f t="shared" si="24"/>
        <v/>
      </c>
    </row>
    <row r="279" spans="1:17">
      <c r="A279" s="2" t="s">
        <v>342</v>
      </c>
      <c r="B279" s="4">
        <v>46317</v>
      </c>
      <c r="C279" s="2"/>
      <c r="D279" s="2" t="s">
        <v>268</v>
      </c>
      <c r="E279" s="2" t="s">
        <v>35</v>
      </c>
      <c r="F279" s="2" t="s">
        <v>27</v>
      </c>
      <c r="G279" s="2" t="s">
        <v>32</v>
      </c>
      <c r="H279" s="2" t="s">
        <v>54</v>
      </c>
      <c r="I279" s="2"/>
      <c r="K279" s="6">
        <f>_xlfn.XLOOKUP(Cases_Tbl[[#This Row],[Priority]],SLA_Table!$A$2:$A$4,SLA_Table!$B$2:$B$4)</f>
        <v>10</v>
      </c>
      <c r="L279" s="6" t="str">
        <f t="shared" si="20"/>
        <v/>
      </c>
      <c r="M279" s="6" t="str">
        <f t="shared" si="21"/>
        <v/>
      </c>
      <c r="N279" s="11">
        <f t="shared" si="22"/>
        <v>46314</v>
      </c>
      <c r="O279" s="9" t="str">
        <f t="shared" si="23"/>
        <v/>
      </c>
      <c r="P279" s="28">
        <f>IF(D279="Open",KPI!$K$13-B279,"")</f>
        <v>8</v>
      </c>
      <c r="Q279" s="24" t="str">
        <f t="shared" si="24"/>
        <v>No</v>
      </c>
    </row>
    <row r="280" spans="1:17">
      <c r="A280" s="2" t="s">
        <v>343</v>
      </c>
      <c r="B280" s="4">
        <v>46317</v>
      </c>
      <c r="C280" s="2"/>
      <c r="D280" s="2" t="s">
        <v>268</v>
      </c>
      <c r="E280" s="6" t="s">
        <v>381</v>
      </c>
      <c r="F280" s="2" t="s">
        <v>47</v>
      </c>
      <c r="G280" s="2" t="s">
        <v>39</v>
      </c>
      <c r="H280" s="2" t="s">
        <v>36</v>
      </c>
      <c r="I280" s="2"/>
      <c r="K280" s="6">
        <f>_xlfn.XLOOKUP(Cases_Tbl[[#This Row],[Priority]],SLA_Table!$A$2:$A$4,SLA_Table!$B$2:$B$4)</f>
        <v>5</v>
      </c>
      <c r="L280" s="6" t="str">
        <f t="shared" si="20"/>
        <v/>
      </c>
      <c r="M280" s="6" t="str">
        <f t="shared" si="21"/>
        <v/>
      </c>
      <c r="N280" s="11">
        <f t="shared" si="22"/>
        <v>46314</v>
      </c>
      <c r="O280" s="9" t="str">
        <f t="shared" si="23"/>
        <v/>
      </c>
      <c r="P280" s="28">
        <f>IF(D280="Open",KPI!$K$13-B280,"")</f>
        <v>8</v>
      </c>
      <c r="Q280" s="24" t="str">
        <f t="shared" si="24"/>
        <v>Yes</v>
      </c>
    </row>
    <row r="281" spans="1:17">
      <c r="A281" s="2" t="s">
        <v>345</v>
      </c>
      <c r="B281" s="4">
        <v>46317</v>
      </c>
      <c r="C281" s="2"/>
      <c r="D281" s="2" t="s">
        <v>268</v>
      </c>
      <c r="E281" s="2" t="s">
        <v>35</v>
      </c>
      <c r="F281" s="2" t="s">
        <v>31</v>
      </c>
      <c r="G281" s="2" t="s">
        <v>28</v>
      </c>
      <c r="H281" s="2" t="s">
        <v>29</v>
      </c>
      <c r="I281" s="2"/>
      <c r="K281" s="6">
        <f>_xlfn.XLOOKUP(Cases_Tbl[[#This Row],[Priority]],SLA_Table!$A$2:$A$4,SLA_Table!$B$2:$B$4)</f>
        <v>10</v>
      </c>
      <c r="L281" s="6" t="str">
        <f t="shared" si="20"/>
        <v/>
      </c>
      <c r="M281" s="6" t="str">
        <f t="shared" si="21"/>
        <v/>
      </c>
      <c r="N281" s="11">
        <f t="shared" si="22"/>
        <v>46314</v>
      </c>
      <c r="O281" s="9" t="str">
        <f t="shared" si="23"/>
        <v/>
      </c>
      <c r="P281" s="28">
        <f>IF(D281="Open",KPI!$K$13-B281,"")</f>
        <v>8</v>
      </c>
      <c r="Q281" s="24" t="str">
        <f t="shared" si="24"/>
        <v>No</v>
      </c>
    </row>
    <row r="282" spans="1:17">
      <c r="A282" s="2" t="s">
        <v>346</v>
      </c>
      <c r="B282" s="4">
        <v>46317</v>
      </c>
      <c r="C282" s="2"/>
      <c r="D282" s="2" t="s">
        <v>268</v>
      </c>
      <c r="E282" s="2" t="s">
        <v>35</v>
      </c>
      <c r="F282" s="2" t="s">
        <v>31</v>
      </c>
      <c r="G282" s="2" t="s">
        <v>39</v>
      </c>
      <c r="H282" s="2" t="s">
        <v>33</v>
      </c>
      <c r="I282" s="2"/>
      <c r="K282" s="6">
        <f>_xlfn.XLOOKUP(Cases_Tbl[[#This Row],[Priority]],SLA_Table!$A$2:$A$4,SLA_Table!$B$2:$B$4)</f>
        <v>10</v>
      </c>
      <c r="L282" s="6" t="str">
        <f t="shared" si="20"/>
        <v/>
      </c>
      <c r="M282" s="6" t="str">
        <f t="shared" si="21"/>
        <v/>
      </c>
      <c r="N282" s="11">
        <f t="shared" si="22"/>
        <v>46314</v>
      </c>
      <c r="O282" s="9" t="str">
        <f t="shared" si="23"/>
        <v/>
      </c>
      <c r="P282" s="28">
        <f>IF(D282="Open",KPI!$K$13-B282,"")</f>
        <v>8</v>
      </c>
      <c r="Q282" s="24" t="str">
        <f t="shared" si="24"/>
        <v>No</v>
      </c>
    </row>
    <row r="283" spans="1:17">
      <c r="A283" s="2" t="s">
        <v>347</v>
      </c>
      <c r="B283" s="4">
        <v>46317</v>
      </c>
      <c r="C283" s="2"/>
      <c r="D283" s="2" t="s">
        <v>268</v>
      </c>
      <c r="E283" s="2" t="s">
        <v>43</v>
      </c>
      <c r="F283" s="2" t="s">
        <v>47</v>
      </c>
      <c r="G283" s="2" t="s">
        <v>28</v>
      </c>
      <c r="H283" s="2" t="s">
        <v>33</v>
      </c>
      <c r="I283" s="2" t="s">
        <v>60</v>
      </c>
      <c r="K283" s="6">
        <f>_xlfn.XLOOKUP(Cases_Tbl[[#This Row],[Priority]],SLA_Table!$A$2:$A$4,SLA_Table!$B$2:$B$4)</f>
        <v>2</v>
      </c>
      <c r="L283" s="6" t="str">
        <f t="shared" si="20"/>
        <v/>
      </c>
      <c r="M283" s="6" t="str">
        <f t="shared" si="21"/>
        <v/>
      </c>
      <c r="N283" s="11">
        <f t="shared" si="22"/>
        <v>46314</v>
      </c>
      <c r="O283" s="9" t="str">
        <f t="shared" si="23"/>
        <v/>
      </c>
      <c r="P283" s="28">
        <f>IF(D283="Open",KPI!$K$13-B283,"")</f>
        <v>8</v>
      </c>
      <c r="Q283" s="24" t="str">
        <f t="shared" si="24"/>
        <v>Yes</v>
      </c>
    </row>
    <row r="284" spans="1:17">
      <c r="A284" s="2" t="s">
        <v>348</v>
      </c>
      <c r="B284" s="4">
        <v>46318</v>
      </c>
      <c r="C284" s="2"/>
      <c r="D284" s="2" t="s">
        <v>268</v>
      </c>
      <c r="E284" s="2" t="s">
        <v>26</v>
      </c>
      <c r="F284" s="2" t="s">
        <v>31</v>
      </c>
      <c r="G284" s="2" t="s">
        <v>32</v>
      </c>
      <c r="H284" s="2" t="s">
        <v>33</v>
      </c>
      <c r="I284" s="2"/>
      <c r="K284" s="6">
        <f>_xlfn.XLOOKUP(Cases_Tbl[[#This Row],[Priority]],SLA_Table!$A$2:$A$4,SLA_Table!$B$2:$B$4)</f>
        <v>5</v>
      </c>
      <c r="L284" s="6" t="str">
        <f t="shared" si="20"/>
        <v/>
      </c>
      <c r="M284" s="6" t="str">
        <f t="shared" si="21"/>
        <v/>
      </c>
      <c r="N284" s="11">
        <f t="shared" si="22"/>
        <v>46314</v>
      </c>
      <c r="O284" s="9" t="str">
        <f t="shared" si="23"/>
        <v/>
      </c>
      <c r="P284" s="28">
        <f>IF(D284="Open",KPI!$K$13-B284,"")</f>
        <v>7</v>
      </c>
      <c r="Q284" s="24" t="str">
        <f t="shared" si="24"/>
        <v>Yes</v>
      </c>
    </row>
    <row r="285" spans="1:17">
      <c r="A285" s="2" t="s">
        <v>349</v>
      </c>
      <c r="B285" s="4">
        <v>46318</v>
      </c>
      <c r="C285" s="2"/>
      <c r="D285" s="2" t="s">
        <v>268</v>
      </c>
      <c r="E285" s="2" t="s">
        <v>26</v>
      </c>
      <c r="F285" s="2" t="s">
        <v>27</v>
      </c>
      <c r="G285" s="2" t="s">
        <v>39</v>
      </c>
      <c r="H285" s="2" t="s">
        <v>44</v>
      </c>
      <c r="I285" s="2"/>
      <c r="K285" s="6">
        <f>_xlfn.XLOOKUP(Cases_Tbl[[#This Row],[Priority]],SLA_Table!$A$2:$A$4,SLA_Table!$B$2:$B$4)</f>
        <v>5</v>
      </c>
      <c r="L285" s="6" t="str">
        <f t="shared" si="20"/>
        <v/>
      </c>
      <c r="M285" s="6" t="str">
        <f t="shared" si="21"/>
        <v/>
      </c>
      <c r="N285" s="11">
        <f t="shared" si="22"/>
        <v>46314</v>
      </c>
      <c r="O285" s="9" t="str">
        <f t="shared" si="23"/>
        <v/>
      </c>
      <c r="P285" s="28">
        <f>IF(D285="Open",KPI!$K$13-B285,"")</f>
        <v>7</v>
      </c>
      <c r="Q285" s="24" t="str">
        <f t="shared" si="24"/>
        <v>Yes</v>
      </c>
    </row>
    <row r="286" spans="1:17">
      <c r="A286" s="2" t="s">
        <v>350</v>
      </c>
      <c r="B286" s="4">
        <v>46318</v>
      </c>
      <c r="C286" s="4">
        <v>46320</v>
      </c>
      <c r="D286" s="2" t="s">
        <v>25</v>
      </c>
      <c r="E286" s="2" t="s">
        <v>43</v>
      </c>
      <c r="F286" s="2" t="s">
        <v>27</v>
      </c>
      <c r="G286" s="2" t="s">
        <v>39</v>
      </c>
      <c r="H286" s="6" t="s">
        <v>393</v>
      </c>
      <c r="I286" s="2"/>
      <c r="K286" s="6">
        <f>_xlfn.XLOOKUP(Cases_Tbl[[#This Row],[Priority]],SLA_Table!$A$2:$A$4,SLA_Table!$B$2:$B$4)</f>
        <v>2</v>
      </c>
      <c r="L286" s="6">
        <f t="shared" si="20"/>
        <v>2</v>
      </c>
      <c r="M286" s="6" t="str">
        <f t="shared" si="21"/>
        <v>Yes</v>
      </c>
      <c r="N286" s="11">
        <f t="shared" si="22"/>
        <v>46314</v>
      </c>
      <c r="O286" s="9">
        <f t="shared" si="23"/>
        <v>46314</v>
      </c>
      <c r="P286" s="28" t="str">
        <f>IF(D286="Open",KPI!$K$13-B286,"")</f>
        <v/>
      </c>
      <c r="Q286" s="24" t="str">
        <f t="shared" si="24"/>
        <v/>
      </c>
    </row>
    <row r="287" spans="1:17">
      <c r="A287" s="2" t="s">
        <v>352</v>
      </c>
      <c r="B287" s="8">
        <v>46318</v>
      </c>
      <c r="C287" s="4">
        <v>46320</v>
      </c>
      <c r="D287" s="2" t="s">
        <v>25</v>
      </c>
      <c r="E287" s="2" t="s">
        <v>26</v>
      </c>
      <c r="F287" s="2" t="s">
        <v>47</v>
      </c>
      <c r="G287" s="2" t="s">
        <v>39</v>
      </c>
      <c r="H287" s="2" t="s">
        <v>29</v>
      </c>
      <c r="I287" s="2"/>
      <c r="K287" s="6">
        <f>_xlfn.XLOOKUP(Cases_Tbl[[#This Row],[Priority]],SLA_Table!$A$2:$A$4,SLA_Table!$B$2:$B$4)</f>
        <v>5</v>
      </c>
      <c r="L287" s="6">
        <f t="shared" si="20"/>
        <v>2</v>
      </c>
      <c r="M287" s="6" t="str">
        <f t="shared" si="21"/>
        <v>Yes</v>
      </c>
      <c r="N287" s="11">
        <f t="shared" si="22"/>
        <v>46314</v>
      </c>
      <c r="O287" s="9">
        <f t="shared" si="23"/>
        <v>46314</v>
      </c>
      <c r="P287" s="28" t="str">
        <f>IF(D287="Open",KPI!$K$13-B287,"")</f>
        <v/>
      </c>
      <c r="Q287" s="24" t="str">
        <f t="shared" si="24"/>
        <v/>
      </c>
    </row>
    <row r="288" spans="1:17">
      <c r="A288" s="2" t="s">
        <v>354</v>
      </c>
      <c r="B288" s="4">
        <v>46318</v>
      </c>
      <c r="C288" s="2"/>
      <c r="D288" s="2" t="s">
        <v>268</v>
      </c>
      <c r="E288" s="2" t="s">
        <v>35</v>
      </c>
      <c r="F288" s="2" t="s">
        <v>31</v>
      </c>
      <c r="G288" s="2" t="s">
        <v>39</v>
      </c>
      <c r="H288" t="s">
        <v>386</v>
      </c>
      <c r="I288" s="2"/>
      <c r="K288" s="6">
        <f>_xlfn.XLOOKUP(Cases_Tbl[[#This Row],[Priority]],SLA_Table!$A$2:$A$4,SLA_Table!$B$2:$B$4)</f>
        <v>10</v>
      </c>
      <c r="L288" s="6" t="str">
        <f t="shared" si="20"/>
        <v/>
      </c>
      <c r="M288" s="6" t="str">
        <f t="shared" si="21"/>
        <v/>
      </c>
      <c r="N288" s="11">
        <f t="shared" si="22"/>
        <v>46314</v>
      </c>
      <c r="O288" s="9" t="str">
        <f t="shared" si="23"/>
        <v/>
      </c>
      <c r="P288" s="28">
        <f>IF(D288="Open",KPI!$K$13-B288,"")</f>
        <v>7</v>
      </c>
      <c r="Q288" s="24" t="str">
        <f t="shared" si="24"/>
        <v>No</v>
      </c>
    </row>
    <row r="289" spans="1:17">
      <c r="A289" s="2" t="s">
        <v>355</v>
      </c>
      <c r="B289" s="4">
        <v>46318</v>
      </c>
      <c r="C289" s="4">
        <v>46319</v>
      </c>
      <c r="D289" s="2" t="s">
        <v>25</v>
      </c>
      <c r="E289" s="2" t="s">
        <v>26</v>
      </c>
      <c r="F289" s="2" t="s">
        <v>41</v>
      </c>
      <c r="G289" s="2" t="s">
        <v>28</v>
      </c>
      <c r="H289" s="2" t="s">
        <v>48</v>
      </c>
      <c r="I289" s="2"/>
      <c r="K289" s="6">
        <f>_xlfn.XLOOKUP(Cases_Tbl[[#This Row],[Priority]],SLA_Table!$A$2:$A$4,SLA_Table!$B$2:$B$4)</f>
        <v>5</v>
      </c>
      <c r="L289" s="6">
        <f t="shared" si="20"/>
        <v>1</v>
      </c>
      <c r="M289" s="6" t="str">
        <f t="shared" si="21"/>
        <v>Yes</v>
      </c>
      <c r="N289" s="11">
        <f t="shared" si="22"/>
        <v>46314</v>
      </c>
      <c r="O289" s="9">
        <f t="shared" si="23"/>
        <v>46314</v>
      </c>
      <c r="P289" s="28" t="str">
        <f>IF(D289="Open",KPI!$K$13-B289,"")</f>
        <v/>
      </c>
      <c r="Q289" s="24" t="str">
        <f t="shared" si="24"/>
        <v/>
      </c>
    </row>
    <row r="290" spans="1:17">
      <c r="A290" s="2" t="s">
        <v>356</v>
      </c>
      <c r="B290" s="4">
        <v>46319</v>
      </c>
      <c r="C290" s="2"/>
      <c r="D290" s="2" t="s">
        <v>268</v>
      </c>
      <c r="E290" s="2" t="s">
        <v>35</v>
      </c>
      <c r="F290" s="2" t="s">
        <v>38</v>
      </c>
      <c r="G290" s="2" t="s">
        <v>32</v>
      </c>
      <c r="H290" s="2" t="s">
        <v>36</v>
      </c>
      <c r="I290" s="2"/>
      <c r="K290" s="6">
        <f>_xlfn.XLOOKUP(Cases_Tbl[[#This Row],[Priority]],SLA_Table!$A$2:$A$4,SLA_Table!$B$2:$B$4)</f>
        <v>10</v>
      </c>
      <c r="L290" s="6" t="str">
        <f t="shared" si="20"/>
        <v/>
      </c>
      <c r="M290" s="6" t="str">
        <f t="shared" si="21"/>
        <v/>
      </c>
      <c r="N290" s="11">
        <f t="shared" si="22"/>
        <v>46314</v>
      </c>
      <c r="O290" s="9" t="str">
        <f t="shared" si="23"/>
        <v/>
      </c>
      <c r="P290" s="28">
        <f>IF(D290="Open",KPI!$K$13-B290,"")</f>
        <v>6</v>
      </c>
      <c r="Q290" s="24" t="str">
        <f t="shared" si="24"/>
        <v>No</v>
      </c>
    </row>
    <row r="291" spans="1:17">
      <c r="A291" s="2" t="s">
        <v>357</v>
      </c>
      <c r="B291" s="4">
        <v>46319</v>
      </c>
      <c r="C291" s="2"/>
      <c r="D291" s="2" t="s">
        <v>268</v>
      </c>
      <c r="E291" s="2" t="s">
        <v>26</v>
      </c>
      <c r="F291" s="2" t="s">
        <v>27</v>
      </c>
      <c r="G291" s="2" t="s">
        <v>28</v>
      </c>
      <c r="H291" s="2" t="s">
        <v>44</v>
      </c>
      <c r="I291" s="2"/>
      <c r="K291" s="6">
        <f>_xlfn.XLOOKUP(Cases_Tbl[[#This Row],[Priority]],SLA_Table!$A$2:$A$4,SLA_Table!$B$2:$B$4)</f>
        <v>5</v>
      </c>
      <c r="L291" s="6" t="str">
        <f t="shared" si="20"/>
        <v/>
      </c>
      <c r="M291" s="6" t="str">
        <f t="shared" si="21"/>
        <v/>
      </c>
      <c r="N291" s="11">
        <f t="shared" si="22"/>
        <v>46314</v>
      </c>
      <c r="O291" s="9" t="str">
        <f t="shared" si="23"/>
        <v/>
      </c>
      <c r="P291" s="28">
        <f>IF(D291="Open",KPI!$K$13-B291,"")</f>
        <v>6</v>
      </c>
      <c r="Q291" s="24" t="str">
        <f t="shared" si="24"/>
        <v>Yes</v>
      </c>
    </row>
    <row r="292" spans="1:17">
      <c r="A292" s="2" t="s">
        <v>358</v>
      </c>
      <c r="B292" s="4">
        <v>46319</v>
      </c>
      <c r="C292" s="2"/>
      <c r="D292" s="2" t="s">
        <v>268</v>
      </c>
      <c r="E292" s="2" t="s">
        <v>35</v>
      </c>
      <c r="F292" s="2" t="s">
        <v>47</v>
      </c>
      <c r="G292" s="2" t="s">
        <v>39</v>
      </c>
      <c r="H292" s="2" t="s">
        <v>48</v>
      </c>
      <c r="I292" s="2"/>
      <c r="K292" s="6">
        <f>_xlfn.XLOOKUP(Cases_Tbl[[#This Row],[Priority]],SLA_Table!$A$2:$A$4,SLA_Table!$B$2:$B$4)</f>
        <v>10</v>
      </c>
      <c r="L292" s="6" t="str">
        <f t="shared" si="20"/>
        <v/>
      </c>
      <c r="M292" s="6" t="str">
        <f t="shared" si="21"/>
        <v/>
      </c>
      <c r="N292" s="11">
        <f t="shared" si="22"/>
        <v>46314</v>
      </c>
      <c r="O292" s="9" t="str">
        <f t="shared" si="23"/>
        <v/>
      </c>
      <c r="P292" s="28">
        <f>IF(D292="Open",KPI!$K$13-B292,"")</f>
        <v>6</v>
      </c>
      <c r="Q292" s="24" t="str">
        <f t="shared" si="24"/>
        <v>No</v>
      </c>
    </row>
    <row r="293" spans="1:17">
      <c r="A293" s="2" t="s">
        <v>359</v>
      </c>
      <c r="B293" s="4">
        <v>46319</v>
      </c>
      <c r="C293" s="2"/>
      <c r="D293" s="2" t="s">
        <v>268</v>
      </c>
      <c r="E293" s="2" t="s">
        <v>35</v>
      </c>
      <c r="F293" s="2" t="s">
        <v>31</v>
      </c>
      <c r="G293" s="2" t="s">
        <v>39</v>
      </c>
      <c r="H293" s="2" t="s">
        <v>48</v>
      </c>
      <c r="I293" s="2"/>
      <c r="K293" s="6">
        <f>_xlfn.XLOOKUP(Cases_Tbl[[#This Row],[Priority]],SLA_Table!$A$2:$A$4,SLA_Table!$B$2:$B$4)</f>
        <v>10</v>
      </c>
      <c r="L293" s="6" t="str">
        <f t="shared" si="20"/>
        <v/>
      </c>
      <c r="M293" s="6" t="str">
        <f t="shared" si="21"/>
        <v/>
      </c>
      <c r="N293" s="11">
        <f t="shared" si="22"/>
        <v>46314</v>
      </c>
      <c r="O293" s="9" t="str">
        <f t="shared" si="23"/>
        <v/>
      </c>
      <c r="P293" s="28">
        <f>IF(D293="Open",KPI!$K$13-B293,"")</f>
        <v>6</v>
      </c>
      <c r="Q293" s="24" t="str">
        <f t="shared" si="24"/>
        <v>No</v>
      </c>
    </row>
    <row r="294" spans="1:17">
      <c r="A294" s="2" t="s">
        <v>360</v>
      </c>
      <c r="B294" s="4">
        <v>46319</v>
      </c>
      <c r="C294" s="2"/>
      <c r="D294" s="2" t="s">
        <v>268</v>
      </c>
      <c r="E294" s="6" t="s">
        <v>380</v>
      </c>
      <c r="F294" s="2" t="s">
        <v>41</v>
      </c>
      <c r="G294" s="2" t="s">
        <v>28</v>
      </c>
      <c r="H294" s="2" t="s">
        <v>36</v>
      </c>
      <c r="I294" s="2"/>
      <c r="K294" s="6">
        <f>_xlfn.XLOOKUP(Cases_Tbl[[#This Row],[Priority]],SLA_Table!$A$2:$A$4,SLA_Table!$B$2:$B$4)</f>
        <v>10</v>
      </c>
      <c r="L294" s="6" t="str">
        <f t="shared" si="20"/>
        <v/>
      </c>
      <c r="M294" s="6" t="str">
        <f t="shared" si="21"/>
        <v/>
      </c>
      <c r="N294" s="11">
        <f t="shared" si="22"/>
        <v>46314</v>
      </c>
      <c r="O294" s="9" t="str">
        <f t="shared" si="23"/>
        <v/>
      </c>
      <c r="P294" s="28">
        <f>IF(D294="Open",KPI!$K$13-B294,"")</f>
        <v>6</v>
      </c>
      <c r="Q294" s="24" t="str">
        <f t="shared" si="24"/>
        <v>No</v>
      </c>
    </row>
    <row r="295" spans="1:17">
      <c r="A295" s="2" t="s">
        <v>362</v>
      </c>
      <c r="B295" s="4">
        <v>46320</v>
      </c>
      <c r="C295" s="2"/>
      <c r="D295" s="2" t="s">
        <v>268</v>
      </c>
      <c r="E295" s="2" t="s">
        <v>26</v>
      </c>
      <c r="F295" s="2" t="s">
        <v>47</v>
      </c>
      <c r="G295" s="2" t="s">
        <v>32</v>
      </c>
      <c r="H295" s="2" t="s">
        <v>48</v>
      </c>
      <c r="I295" s="2"/>
      <c r="K295" s="6">
        <f>_xlfn.XLOOKUP(Cases_Tbl[[#This Row],[Priority]],SLA_Table!$A$2:$A$4,SLA_Table!$B$2:$B$4)</f>
        <v>5</v>
      </c>
      <c r="L295" s="6" t="str">
        <f t="shared" si="20"/>
        <v/>
      </c>
      <c r="M295" s="6" t="str">
        <f t="shared" si="21"/>
        <v/>
      </c>
      <c r="N295" s="11">
        <f t="shared" si="22"/>
        <v>46314</v>
      </c>
      <c r="O295" s="9" t="str">
        <f t="shared" si="23"/>
        <v/>
      </c>
      <c r="P295" s="28">
        <f>IF(D295="Open",KPI!$K$13-B295,"")</f>
        <v>5</v>
      </c>
      <c r="Q295" s="24" t="str">
        <f t="shared" si="24"/>
        <v>No</v>
      </c>
    </row>
    <row r="296" spans="1:17">
      <c r="A296" s="2" t="s">
        <v>363</v>
      </c>
      <c r="B296" s="4">
        <v>46320</v>
      </c>
      <c r="C296" s="2"/>
      <c r="D296" s="2" t="s">
        <v>268</v>
      </c>
      <c r="E296" s="2" t="s">
        <v>35</v>
      </c>
      <c r="F296" s="2" t="s">
        <v>47</v>
      </c>
      <c r="G296" s="2" t="s">
        <v>32</v>
      </c>
      <c r="H296" s="2" t="s">
        <v>44</v>
      </c>
      <c r="I296" s="2"/>
      <c r="K296" s="6">
        <f>_xlfn.XLOOKUP(Cases_Tbl[[#This Row],[Priority]],SLA_Table!$A$2:$A$4,SLA_Table!$B$2:$B$4)</f>
        <v>10</v>
      </c>
      <c r="L296" s="6" t="str">
        <f t="shared" si="20"/>
        <v/>
      </c>
      <c r="M296" s="6" t="str">
        <f t="shared" si="21"/>
        <v/>
      </c>
      <c r="N296" s="11">
        <f t="shared" si="22"/>
        <v>46314</v>
      </c>
      <c r="O296" s="9" t="str">
        <f t="shared" si="23"/>
        <v/>
      </c>
      <c r="P296" s="28">
        <f>IF(D296="Open",KPI!$K$13-B296,"")</f>
        <v>5</v>
      </c>
      <c r="Q296" s="24" t="str">
        <f t="shared" si="24"/>
        <v>No</v>
      </c>
    </row>
    <row r="297" spans="1:17">
      <c r="A297" s="2" t="s">
        <v>364</v>
      </c>
      <c r="B297" s="9">
        <v>46320</v>
      </c>
      <c r="C297" s="2"/>
      <c r="D297" s="2" t="s">
        <v>268</v>
      </c>
      <c r="E297" s="2" t="s">
        <v>35</v>
      </c>
      <c r="F297" s="2" t="s">
        <v>47</v>
      </c>
      <c r="G297" s="2" t="s">
        <v>28</v>
      </c>
      <c r="H297" s="2" t="s">
        <v>33</v>
      </c>
      <c r="I297" s="2"/>
      <c r="K297" s="6">
        <f>_xlfn.XLOOKUP(Cases_Tbl[[#This Row],[Priority]],SLA_Table!$A$2:$A$4,SLA_Table!$B$2:$B$4)</f>
        <v>10</v>
      </c>
      <c r="L297" s="6" t="str">
        <f t="shared" si="20"/>
        <v/>
      </c>
      <c r="M297" s="6" t="str">
        <f t="shared" si="21"/>
        <v/>
      </c>
      <c r="N297" s="11">
        <f t="shared" si="22"/>
        <v>46314</v>
      </c>
      <c r="O297" s="9" t="str">
        <f t="shared" si="23"/>
        <v/>
      </c>
      <c r="P297" s="28">
        <f>IF(D297="Open",KPI!$K$13-B297,"")</f>
        <v>5</v>
      </c>
      <c r="Q297" s="24" t="str">
        <f t="shared" si="24"/>
        <v>No</v>
      </c>
    </row>
    <row r="298" spans="1:17">
      <c r="A298" s="2" t="s">
        <v>366</v>
      </c>
      <c r="B298" s="4">
        <v>46320</v>
      </c>
      <c r="C298" s="2"/>
      <c r="D298" s="2" t="s">
        <v>268</v>
      </c>
      <c r="E298" s="2" t="s">
        <v>26</v>
      </c>
      <c r="F298" s="2" t="s">
        <v>47</v>
      </c>
      <c r="G298" s="2" t="s">
        <v>39</v>
      </c>
      <c r="H298" s="2" t="s">
        <v>33</v>
      </c>
      <c r="I298" s="2"/>
      <c r="K298" s="6">
        <f>_xlfn.XLOOKUP(Cases_Tbl[[#This Row],[Priority]],SLA_Table!$A$2:$A$4,SLA_Table!$B$2:$B$4)</f>
        <v>5</v>
      </c>
      <c r="L298" s="6" t="str">
        <f t="shared" si="20"/>
        <v/>
      </c>
      <c r="M298" s="6" t="str">
        <f t="shared" si="21"/>
        <v/>
      </c>
      <c r="N298" s="11">
        <f t="shared" si="22"/>
        <v>46314</v>
      </c>
      <c r="O298" s="9" t="str">
        <f t="shared" si="23"/>
        <v/>
      </c>
      <c r="P298" s="28">
        <f>IF(D298="Open",KPI!$K$13-B298,"")</f>
        <v>5</v>
      </c>
      <c r="Q298" s="24" t="str">
        <f t="shared" si="24"/>
        <v>No</v>
      </c>
    </row>
    <row r="299" spans="1:17">
      <c r="A299" s="2" t="s">
        <v>367</v>
      </c>
      <c r="B299" s="4">
        <v>46320</v>
      </c>
      <c r="C299" s="2"/>
      <c r="D299" s="2" t="s">
        <v>268</v>
      </c>
      <c r="E299" s="2" t="s">
        <v>35</v>
      </c>
      <c r="F299" s="2" t="s">
        <v>47</v>
      </c>
      <c r="G299" s="2" t="s">
        <v>39</v>
      </c>
      <c r="H299" s="2" t="s">
        <v>48</v>
      </c>
      <c r="I299" s="2"/>
      <c r="K299" s="6">
        <f>_xlfn.XLOOKUP(Cases_Tbl[[#This Row],[Priority]],SLA_Table!$A$2:$A$4,SLA_Table!$B$2:$B$4)</f>
        <v>10</v>
      </c>
      <c r="L299" s="6" t="str">
        <f t="shared" si="20"/>
        <v/>
      </c>
      <c r="M299" s="6" t="str">
        <f t="shared" si="21"/>
        <v/>
      </c>
      <c r="N299" s="11">
        <f t="shared" si="22"/>
        <v>46314</v>
      </c>
      <c r="O299" s="9" t="str">
        <f t="shared" si="23"/>
        <v/>
      </c>
      <c r="P299" s="28">
        <f>IF(D299="Open",KPI!$K$13-B299,"")</f>
        <v>5</v>
      </c>
      <c r="Q299" s="24" t="str">
        <f t="shared" si="24"/>
        <v>No</v>
      </c>
    </row>
    <row r="300" spans="1:17">
      <c r="A300" s="2" t="s">
        <v>368</v>
      </c>
      <c r="B300" s="4">
        <v>46320</v>
      </c>
      <c r="C300" s="2"/>
      <c r="D300" s="2" t="s">
        <v>268</v>
      </c>
      <c r="E300" s="2" t="s">
        <v>26</v>
      </c>
      <c r="F300" s="2" t="s">
        <v>47</v>
      </c>
      <c r="G300" s="2" t="s">
        <v>32</v>
      </c>
      <c r="H300" s="2" t="s">
        <v>48</v>
      </c>
      <c r="I300" s="2"/>
      <c r="K300" s="6">
        <f>_xlfn.XLOOKUP(Cases_Tbl[[#This Row],[Priority]],SLA_Table!$A$2:$A$4,SLA_Table!$B$2:$B$4)</f>
        <v>5</v>
      </c>
      <c r="L300" s="6" t="str">
        <f t="shared" si="20"/>
        <v/>
      </c>
      <c r="M300" s="6" t="str">
        <f t="shared" si="21"/>
        <v/>
      </c>
      <c r="N300" s="11">
        <f t="shared" si="22"/>
        <v>46314</v>
      </c>
      <c r="O300" s="9" t="str">
        <f t="shared" si="23"/>
        <v/>
      </c>
      <c r="P300" s="28">
        <f>IF(D300="Open",KPI!$K$13-B300,"")</f>
        <v>5</v>
      </c>
      <c r="Q300" s="24" t="str">
        <f t="shared" si="24"/>
        <v>No</v>
      </c>
    </row>
    <row r="301" spans="1:17">
      <c r="A301" s="2" t="s">
        <v>369</v>
      </c>
      <c r="B301" s="4">
        <v>46320</v>
      </c>
      <c r="C301" s="2"/>
      <c r="D301" s="2" t="s">
        <v>268</v>
      </c>
      <c r="E301" s="2" t="s">
        <v>35</v>
      </c>
      <c r="F301" s="2" t="s">
        <v>27</v>
      </c>
      <c r="G301" s="2" t="s">
        <v>39</v>
      </c>
      <c r="H301" s="2" t="s">
        <v>54</v>
      </c>
      <c r="I301" s="2"/>
      <c r="J301" t="str">
        <f t="shared" ref="J301:J305" si="25">IF(C301="","",C301&gt;=B301)</f>
        <v/>
      </c>
      <c r="K301" s="6">
        <f>_xlfn.XLOOKUP(Cases_Tbl[[#This Row],[Priority]],SLA_Table!$A$2:$A$4,SLA_Table!$B$2:$B$4)</f>
        <v>10</v>
      </c>
      <c r="L301" s="6" t="str">
        <f t="shared" si="20"/>
        <v/>
      </c>
      <c r="M301" s="6" t="str">
        <f t="shared" si="21"/>
        <v/>
      </c>
      <c r="N301" s="11">
        <f t="shared" si="22"/>
        <v>46314</v>
      </c>
      <c r="O301" s="9" t="str">
        <f t="shared" si="23"/>
        <v/>
      </c>
      <c r="P301" s="28">
        <f>IF(D301="Open",KPI!$K$13-B301,"")</f>
        <v>5</v>
      </c>
      <c r="Q301" s="24" t="str">
        <f t="shared" si="24"/>
        <v>No</v>
      </c>
    </row>
    <row r="302" spans="1:17">
      <c r="A302" s="2" t="s">
        <v>434</v>
      </c>
      <c r="B302" s="4">
        <v>46321</v>
      </c>
      <c r="C302" s="4">
        <v>46323</v>
      </c>
      <c r="D302" s="2" t="s">
        <v>25</v>
      </c>
      <c r="E302" s="2" t="s">
        <v>26</v>
      </c>
      <c r="F302" s="2" t="s">
        <v>41</v>
      </c>
      <c r="G302" s="2" t="s">
        <v>32</v>
      </c>
      <c r="H302" s="2" t="s">
        <v>44</v>
      </c>
      <c r="I302" s="2"/>
      <c r="K302" s="24">
        <f>_xlfn.XLOOKUP(Cases_Tbl[[#This Row],[Priority]],SLA_Table!$A$2:$A$4,SLA_Table!$B$2:$B$4)</f>
        <v>5</v>
      </c>
      <c r="L302" s="24">
        <f t="shared" ref="L302:L306" si="26">IF(OR(C302="",J302&lt;&gt;""),"",C302-B302)</f>
        <v>2</v>
      </c>
      <c r="M302" s="24" t="str">
        <f t="shared" ref="M302:M306" si="27">IF(L302="","",IF(L302&lt;=K302,"Yes","No"))</f>
        <v>Yes</v>
      </c>
      <c r="N302" s="4">
        <f t="shared" ref="N302:N306" si="28">B302-WEEKDAY(B302,2)+1</f>
        <v>46321</v>
      </c>
      <c r="O302" s="8">
        <f t="shared" ref="O302:O306" si="29">IF(C302="","",C302-WEEKDAY(C302,2)+1)</f>
        <v>46321</v>
      </c>
      <c r="P302" s="28" t="str">
        <f>IF(D302="Open",KPI!$K$13-B302,"")</f>
        <v/>
      </c>
      <c r="Q302" s="24" t="str">
        <f t="shared" si="24"/>
        <v/>
      </c>
    </row>
    <row r="303" spans="1:17">
      <c r="A303" s="2" t="s">
        <v>435</v>
      </c>
      <c r="B303" s="4">
        <v>46321</v>
      </c>
      <c r="C303" s="2"/>
      <c r="D303" s="2" t="s">
        <v>268</v>
      </c>
      <c r="E303" s="2" t="s">
        <v>43</v>
      </c>
      <c r="F303" s="2" t="s">
        <v>31</v>
      </c>
      <c r="G303" s="2" t="s">
        <v>39</v>
      </c>
      <c r="H303" s="2" t="s">
        <v>29</v>
      </c>
      <c r="I303" s="2" t="s">
        <v>55</v>
      </c>
      <c r="K303" s="24">
        <f>_xlfn.XLOOKUP(Cases_Tbl[[#This Row],[Priority]],SLA_Table!$A$2:$A$4,SLA_Table!$B$2:$B$4)</f>
        <v>2</v>
      </c>
      <c r="L303" s="24" t="str">
        <f t="shared" si="26"/>
        <v/>
      </c>
      <c r="M303" s="24" t="str">
        <f t="shared" si="27"/>
        <v/>
      </c>
      <c r="N303" s="4">
        <f t="shared" si="28"/>
        <v>46321</v>
      </c>
      <c r="O303" s="8" t="str">
        <f t="shared" si="29"/>
        <v/>
      </c>
      <c r="P303" s="28">
        <f>IF(D303="Open",KPI!$K$13-B303,"")</f>
        <v>4</v>
      </c>
      <c r="Q303" s="24" t="str">
        <f t="shared" si="24"/>
        <v>Yes</v>
      </c>
    </row>
    <row r="304" spans="1:17">
      <c r="A304" s="2" t="s">
        <v>436</v>
      </c>
      <c r="B304" s="4">
        <v>46322</v>
      </c>
      <c r="C304" s="4">
        <v>46324</v>
      </c>
      <c r="D304" s="2" t="s">
        <v>25</v>
      </c>
      <c r="E304" s="2" t="s">
        <v>35</v>
      </c>
      <c r="F304" s="2" t="s">
        <v>47</v>
      </c>
      <c r="G304" s="2" t="s">
        <v>28</v>
      </c>
      <c r="H304" s="2" t="s">
        <v>36</v>
      </c>
      <c r="I304" s="2"/>
      <c r="K304" s="24">
        <f>_xlfn.XLOOKUP(Cases_Tbl[[#This Row],[Priority]],SLA_Table!$A$2:$A$4,SLA_Table!$B$2:$B$4)</f>
        <v>10</v>
      </c>
      <c r="L304" s="24">
        <f t="shared" si="26"/>
        <v>2</v>
      </c>
      <c r="M304" s="24" t="str">
        <f t="shared" si="27"/>
        <v>Yes</v>
      </c>
      <c r="N304" s="4">
        <f t="shared" si="28"/>
        <v>46321</v>
      </c>
      <c r="O304" s="8">
        <f t="shared" si="29"/>
        <v>46321</v>
      </c>
      <c r="P304" s="28" t="str">
        <f>IF(D304="Open",KPI!$K$13-B304,"")</f>
        <v/>
      </c>
      <c r="Q304" s="24" t="str">
        <f t="shared" si="24"/>
        <v/>
      </c>
    </row>
    <row r="305" spans="1:17">
      <c r="A305" s="2" t="s">
        <v>437</v>
      </c>
      <c r="B305" s="4">
        <v>46323</v>
      </c>
      <c r="C305" s="2"/>
      <c r="D305" s="2" t="s">
        <v>268</v>
      </c>
      <c r="E305" s="2" t="s">
        <v>26</v>
      </c>
      <c r="F305" s="2" t="s">
        <v>38</v>
      </c>
      <c r="G305" s="2" t="s">
        <v>32</v>
      </c>
      <c r="H305" s="2" t="s">
        <v>48</v>
      </c>
      <c r="I305" s="2"/>
      <c r="J305" t="str">
        <f t="shared" si="25"/>
        <v/>
      </c>
      <c r="K305" s="24">
        <f>_xlfn.XLOOKUP(Cases_Tbl[[#This Row],[Priority]],SLA_Table!$A$2:$A$4,SLA_Table!$B$2:$B$4)</f>
        <v>5</v>
      </c>
      <c r="L305" s="24" t="str">
        <f t="shared" si="26"/>
        <v/>
      </c>
      <c r="M305" s="24" t="str">
        <f t="shared" si="27"/>
        <v/>
      </c>
      <c r="N305" s="4">
        <f t="shared" si="28"/>
        <v>46321</v>
      </c>
      <c r="O305" s="8" t="str">
        <f t="shared" si="29"/>
        <v/>
      </c>
      <c r="P305" s="28">
        <f>IF(D305="Open",KPI!$K$13-B305,"")</f>
        <v>2</v>
      </c>
      <c r="Q305" s="24" t="str">
        <f t="shared" si="24"/>
        <v>No</v>
      </c>
    </row>
    <row r="306" spans="1:17">
      <c r="A306" s="2" t="s">
        <v>438</v>
      </c>
      <c r="B306" s="4">
        <v>46324</v>
      </c>
      <c r="C306" s="2"/>
      <c r="D306" s="2" t="s">
        <v>268</v>
      </c>
      <c r="E306" s="2" t="s">
        <v>35</v>
      </c>
      <c r="F306" s="2" t="s">
        <v>27</v>
      </c>
      <c r="G306" s="2" t="s">
        <v>39</v>
      </c>
      <c r="H306" s="2" t="s">
        <v>33</v>
      </c>
      <c r="I306" s="2"/>
      <c r="K306" s="24">
        <f>_xlfn.XLOOKUP(Cases_Tbl[[#This Row],[Priority]],SLA_Table!$A$2:$A$4,SLA_Table!$B$2:$B$4)</f>
        <v>10</v>
      </c>
      <c r="L306" s="24" t="str">
        <f t="shared" si="26"/>
        <v/>
      </c>
      <c r="M306" s="24" t="str">
        <f t="shared" si="27"/>
        <v/>
      </c>
      <c r="N306" s="4">
        <f t="shared" si="28"/>
        <v>46321</v>
      </c>
      <c r="O306" s="8" t="str">
        <f t="shared" si="29"/>
        <v/>
      </c>
      <c r="P306" s="28">
        <f>IF(D306="Open",KPI!$K$13-B306,"")</f>
        <v>1</v>
      </c>
      <c r="Q306" s="24" t="str">
        <f t="shared" si="24"/>
        <v>No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6A13-9D35-FF45-918A-5FA99ED4CACB}">
  <dimension ref="A1:D8"/>
  <sheetViews>
    <sheetView workbookViewId="0">
      <selection activeCell="D8" sqref="D8"/>
    </sheetView>
  </sheetViews>
  <sheetFormatPr baseColWidth="10" defaultRowHeight="14"/>
  <cols>
    <col min="1" max="1" width="28.3984375" bestFit="1" customWidth="1"/>
    <col min="2" max="2" width="53.19921875" bestFit="1" customWidth="1"/>
    <col min="4" max="4" width="60.796875" bestFit="1" customWidth="1"/>
  </cols>
  <sheetData>
    <row r="1" spans="1:4">
      <c r="A1" t="s">
        <v>376</v>
      </c>
      <c r="B1" t="s">
        <v>377</v>
      </c>
      <c r="C1" t="s">
        <v>378</v>
      </c>
      <c r="D1" t="s">
        <v>379</v>
      </c>
    </row>
    <row r="2" spans="1:4">
      <c r="A2" t="s">
        <v>383</v>
      </c>
      <c r="B2" t="s">
        <v>384</v>
      </c>
      <c r="C2">
        <v>5</v>
      </c>
      <c r="D2" t="s">
        <v>385</v>
      </c>
    </row>
    <row r="3" spans="1:4">
      <c r="A3" t="s">
        <v>22</v>
      </c>
      <c r="B3" t="s">
        <v>387</v>
      </c>
      <c r="C3">
        <v>6</v>
      </c>
      <c r="D3" t="s">
        <v>388</v>
      </c>
    </row>
    <row r="4" spans="1:4">
      <c r="A4" t="s">
        <v>22</v>
      </c>
      <c r="B4" t="s">
        <v>394</v>
      </c>
      <c r="C4">
        <v>5</v>
      </c>
      <c r="D4" t="s">
        <v>395</v>
      </c>
    </row>
    <row r="5" spans="1:4">
      <c r="A5" t="s">
        <v>401</v>
      </c>
      <c r="B5" t="s">
        <v>402</v>
      </c>
      <c r="C5">
        <v>9</v>
      </c>
      <c r="D5" t="s">
        <v>403</v>
      </c>
    </row>
    <row r="6" spans="1:4">
      <c r="A6" t="s">
        <v>23</v>
      </c>
      <c r="B6" t="s">
        <v>399</v>
      </c>
      <c r="C6">
        <v>8</v>
      </c>
      <c r="D6" t="s">
        <v>400</v>
      </c>
    </row>
    <row r="7" spans="1:4">
      <c r="A7" t="s">
        <v>15</v>
      </c>
      <c r="B7" t="s">
        <v>404</v>
      </c>
      <c r="C7">
        <v>6</v>
      </c>
      <c r="D7" t="s">
        <v>405</v>
      </c>
    </row>
    <row r="8" spans="1:4">
      <c r="A8" t="s">
        <v>408</v>
      </c>
      <c r="B8" t="s">
        <v>409</v>
      </c>
      <c r="C8">
        <v>3</v>
      </c>
      <c r="D8" t="s">
        <v>410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Cases</vt:lpstr>
      <vt:lpstr>SLA_Table</vt:lpstr>
      <vt:lpstr>KPI</vt:lpstr>
      <vt:lpstr>Cases_Clean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11047021_黃翊禎</cp:lastModifiedBy>
  <dcterms:created xsi:type="dcterms:W3CDTF">2026-10-29T03:52:33Z</dcterms:created>
  <dcterms:modified xsi:type="dcterms:W3CDTF">2026-10-29T08:15:13Z</dcterms:modified>
</cp:coreProperties>
</file>